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kesfan93/Desktop/Folders/Excel/Compound Interest/"/>
    </mc:Choice>
  </mc:AlternateContent>
  <xr:revisionPtr revIDLastSave="0" documentId="13_ncr:1_{AE13B8E7-132F-1F44-BAEA-BEDA2427D2AF}" xr6:coauthVersionLast="45" xr6:coauthVersionMax="45" xr10:uidLastSave="{00000000-0000-0000-0000-000000000000}"/>
  <bookViews>
    <workbookView xWindow="0" yWindow="460" windowWidth="25600" windowHeight="14660" activeTab="1" xr2:uid="{577507E6-FE42-48FA-9EE1-638E2F1C0355}"/>
  </bookViews>
  <sheets>
    <sheet name="Instructions" sheetId="3" r:id="rId1"/>
    <sheet name="Calculator" sheetId="2" r:id="rId2"/>
    <sheet name="References" sheetId="4" state="hidden" r:id="rId3"/>
  </sheets>
  <definedNames>
    <definedName name="_xlnm.Print_Area" localSheetId="1">Calculator!$B$1:$H$117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" l="1"/>
  <c r="B1" i="4" l="1"/>
  <c r="B2" i="4" s="1"/>
  <c r="B3" i="4"/>
  <c r="D40" i="2" l="1"/>
  <c r="D39" i="2"/>
  <c r="E39" i="2" s="1"/>
  <c r="E40" i="2" s="1"/>
  <c r="H39" i="2" l="1"/>
  <c r="D108" i="2"/>
  <c r="D100" i="2"/>
  <c r="D92" i="2"/>
  <c r="D84" i="2"/>
  <c r="D76" i="2"/>
  <c r="D68" i="2"/>
  <c r="D60" i="2"/>
  <c r="D52" i="2"/>
  <c r="D44" i="2"/>
  <c r="D107" i="2"/>
  <c r="D67" i="2"/>
  <c r="D98" i="2"/>
  <c r="D74" i="2"/>
  <c r="D66" i="2"/>
  <c r="D58" i="2"/>
  <c r="D50" i="2"/>
  <c r="D91" i="2"/>
  <c r="D43" i="2"/>
  <c r="D90" i="2"/>
  <c r="D113" i="2"/>
  <c r="D105" i="2"/>
  <c r="D97" i="2"/>
  <c r="D89" i="2"/>
  <c r="D81" i="2"/>
  <c r="D73" i="2"/>
  <c r="D65" i="2"/>
  <c r="D57" i="2"/>
  <c r="D49" i="2"/>
  <c r="D75" i="2"/>
  <c r="D82" i="2"/>
  <c r="D112" i="2"/>
  <c r="D104" i="2"/>
  <c r="D96" i="2"/>
  <c r="D88" i="2"/>
  <c r="D80" i="2"/>
  <c r="D72" i="2"/>
  <c r="D64" i="2"/>
  <c r="D56" i="2"/>
  <c r="D48" i="2"/>
  <c r="D99" i="2"/>
  <c r="D83" i="2"/>
  <c r="D59" i="2"/>
  <c r="D51" i="2"/>
  <c r="D106" i="2"/>
  <c r="D111" i="2"/>
  <c r="D103" i="2"/>
  <c r="D95" i="2"/>
  <c r="D87" i="2"/>
  <c r="D79" i="2"/>
  <c r="D71" i="2"/>
  <c r="D63" i="2"/>
  <c r="D55" i="2"/>
  <c r="D47" i="2"/>
  <c r="D42" i="2"/>
  <c r="D110" i="2"/>
  <c r="D102" i="2"/>
  <c r="D94" i="2"/>
  <c r="D86" i="2"/>
  <c r="D78" i="2"/>
  <c r="D70" i="2"/>
  <c r="D62" i="2"/>
  <c r="D54" i="2"/>
  <c r="D46" i="2"/>
  <c r="D109" i="2"/>
  <c r="D101" i="2"/>
  <c r="D93" i="2"/>
  <c r="D85" i="2"/>
  <c r="D77" i="2"/>
  <c r="D69" i="2"/>
  <c r="D61" i="2"/>
  <c r="D53" i="2"/>
  <c r="D45" i="2"/>
  <c r="D41" i="2"/>
  <c r="E41" i="2" s="1"/>
  <c r="C40" i="2"/>
  <c r="B39" i="2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E42" i="2" l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C41" i="2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F40" i="2"/>
  <c r="H40" i="2" l="1"/>
  <c r="F41" i="2" s="1"/>
  <c r="H41" i="2" s="1"/>
  <c r="F42" i="2" s="1"/>
  <c r="H42" i="2" s="1"/>
  <c r="F43" i="2" s="1"/>
  <c r="H43" i="2" s="1"/>
  <c r="F44" i="2" s="1"/>
  <c r="H44" i="2" s="1"/>
  <c r="F45" i="2" s="1"/>
  <c r="H45" i="2" s="1"/>
  <c r="F46" i="2" s="1"/>
  <c r="H46" i="2" s="1"/>
  <c r="F47" i="2" s="1"/>
  <c r="H47" i="2" s="1"/>
  <c r="F48" i="2" s="1"/>
  <c r="H48" i="2" s="1"/>
  <c r="F49" i="2" s="1"/>
  <c r="H49" i="2" s="1"/>
  <c r="F50" i="2" s="1"/>
  <c r="H50" i="2" s="1"/>
  <c r="F51" i="2" s="1"/>
  <c r="H51" i="2" s="1"/>
  <c r="F52" i="2" s="1"/>
  <c r="H52" i="2" s="1"/>
  <c r="F53" i="2" s="1"/>
  <c r="H53" i="2" s="1"/>
  <c r="F54" i="2" s="1"/>
  <c r="H54" i="2" s="1"/>
  <c r="G40" i="2"/>
  <c r="C65" i="2"/>
  <c r="C66" i="2" s="1"/>
  <c r="F55" i="2" l="1"/>
  <c r="H55" i="2" s="1"/>
  <c r="F56" i="2" s="1"/>
  <c r="H56" i="2" s="1"/>
  <c r="F57" i="2" s="1"/>
  <c r="H57" i="2" s="1"/>
  <c r="F58" i="2" s="1"/>
  <c r="H58" i="2" s="1"/>
  <c r="F59" i="2" s="1"/>
  <c r="H59" i="2" s="1"/>
  <c r="F60" i="2" s="1"/>
  <c r="H60" i="2" s="1"/>
  <c r="F61" i="2" s="1"/>
  <c r="H61" i="2" s="1"/>
  <c r="F62" i="2" s="1"/>
  <c r="H62" i="2" s="1"/>
  <c r="F63" i="2" s="1"/>
  <c r="H63" i="2" s="1"/>
  <c r="F64" i="2" s="1"/>
  <c r="H64" i="2" s="1"/>
  <c r="F65" i="2" s="1"/>
  <c r="H65" i="2" s="1"/>
  <c r="F66" i="2" s="1"/>
  <c r="H66" i="2" s="1"/>
  <c r="F67" i="2" s="1"/>
  <c r="H67" i="2" s="1"/>
  <c r="F68" i="2" s="1"/>
  <c r="H68" i="2" s="1"/>
  <c r="F69" i="2" s="1"/>
  <c r="H69" i="2" s="1"/>
  <c r="F70" i="2" s="1"/>
  <c r="H70" i="2" s="1"/>
  <c r="F71" i="2" s="1"/>
  <c r="H71" i="2" s="1"/>
  <c r="F72" i="2" s="1"/>
  <c r="H72" i="2" s="1"/>
  <c r="F73" i="2" s="1"/>
  <c r="H73" i="2" s="1"/>
  <c r="F74" i="2" s="1"/>
  <c r="H74" i="2" s="1"/>
  <c r="F75" i="2" s="1"/>
  <c r="H75" i="2" s="1"/>
  <c r="F76" i="2" s="1"/>
  <c r="H76" i="2" s="1"/>
  <c r="F77" i="2" s="1"/>
  <c r="H77" i="2" s="1"/>
  <c r="F78" i="2" s="1"/>
  <c r="H78" i="2" s="1"/>
  <c r="F79" i="2" s="1"/>
  <c r="H79" i="2" s="1"/>
  <c r="F80" i="2" s="1"/>
  <c r="H80" i="2" s="1"/>
  <c r="F81" i="2" s="1"/>
  <c r="H81" i="2" s="1"/>
  <c r="F82" i="2" s="1"/>
  <c r="H82" i="2" s="1"/>
  <c r="F83" i="2" s="1"/>
  <c r="H83" i="2" s="1"/>
  <c r="F84" i="2" s="1"/>
  <c r="H84" i="2" s="1"/>
  <c r="F85" i="2" s="1"/>
  <c r="H85" i="2" s="1"/>
  <c r="F86" i="2" s="1"/>
  <c r="H86" i="2" s="1"/>
  <c r="F87" i="2" s="1"/>
  <c r="H87" i="2" s="1"/>
  <c r="F88" i="2" s="1"/>
  <c r="H88" i="2" s="1"/>
  <c r="F89" i="2" s="1"/>
  <c r="H89" i="2" s="1"/>
  <c r="F90" i="2" s="1"/>
  <c r="H90" i="2" s="1"/>
  <c r="F91" i="2" s="1"/>
  <c r="H91" i="2" s="1"/>
  <c r="F92" i="2" s="1"/>
  <c r="H92" i="2" s="1"/>
  <c r="F93" i="2" s="1"/>
  <c r="H93" i="2" s="1"/>
  <c r="F94" i="2" s="1"/>
  <c r="H94" i="2" s="1"/>
  <c r="F95" i="2" s="1"/>
  <c r="H95" i="2" s="1"/>
  <c r="F96" i="2" s="1"/>
  <c r="H96" i="2" s="1"/>
  <c r="F97" i="2" s="1"/>
  <c r="H97" i="2" s="1"/>
  <c r="F98" i="2" s="1"/>
  <c r="H98" i="2" s="1"/>
  <c r="F99" i="2" s="1"/>
  <c r="H99" i="2" s="1"/>
  <c r="F100" i="2" s="1"/>
  <c r="H100" i="2" s="1"/>
  <c r="F101" i="2" s="1"/>
  <c r="H101" i="2" s="1"/>
  <c r="F102" i="2" s="1"/>
  <c r="H102" i="2" s="1"/>
  <c r="F103" i="2" s="1"/>
  <c r="H103" i="2" s="1"/>
  <c r="F104" i="2" s="1"/>
  <c r="H104" i="2" s="1"/>
  <c r="F105" i="2" s="1"/>
  <c r="H105" i="2" s="1"/>
  <c r="F106" i="2" s="1"/>
  <c r="H106" i="2" s="1"/>
  <c r="F107" i="2" s="1"/>
  <c r="H107" i="2" s="1"/>
  <c r="F108" i="2" s="1"/>
  <c r="H108" i="2" s="1"/>
  <c r="F109" i="2" s="1"/>
  <c r="H109" i="2" s="1"/>
  <c r="F110" i="2" s="1"/>
  <c r="H110" i="2" s="1"/>
  <c r="F111" i="2" s="1"/>
  <c r="H111" i="2" s="1"/>
  <c r="F112" i="2" s="1"/>
  <c r="H112" i="2" s="1"/>
  <c r="F113" i="2" s="1"/>
  <c r="H113" i="2" s="1"/>
  <c r="G41" i="2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C67" i="2"/>
  <c r="G55" i="2" l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C68" i="2"/>
  <c r="C69" i="2" l="1"/>
  <c r="C70" i="2" l="1"/>
  <c r="C71" i="2" l="1"/>
  <c r="C72" i="2" l="1"/>
  <c r="C73" i="2" l="1"/>
  <c r="C74" i="2" l="1"/>
  <c r="C75" i="2" l="1"/>
  <c r="C76" i="2" l="1"/>
  <c r="C77" i="2" l="1"/>
  <c r="H115" i="2" l="1"/>
  <c r="G115" i="2"/>
  <c r="C78" i="2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F115" i="2" s="1"/>
  <c r="E115" i="2" l="1"/>
  <c r="D115" i="2"/>
  <c r="B11" i="2"/>
</calcChain>
</file>

<file path=xl/sharedStrings.xml><?xml version="1.0" encoding="utf-8"?>
<sst xmlns="http://schemas.openxmlformats.org/spreadsheetml/2006/main" count="26" uniqueCount="23">
  <si>
    <t>Amount Currently Saved</t>
  </si>
  <si>
    <t>Additional Savings Per Year</t>
  </si>
  <si>
    <t>Current Age</t>
  </si>
  <si>
    <t>Age</t>
  </si>
  <si>
    <t>Years From Now</t>
  </si>
  <si>
    <t>Interest Rate</t>
  </si>
  <si>
    <t>Balance</t>
  </si>
  <si>
    <t># Years to Forecast</t>
  </si>
  <si>
    <t>Total</t>
  </si>
  <si>
    <t>Rows to Show</t>
  </si>
  <si>
    <t>Row to Hide Start</t>
  </si>
  <si>
    <t>Chart Title</t>
  </si>
  <si>
    <t>Inputs</t>
  </si>
  <si>
    <t>Summary</t>
  </si>
  <si>
    <t>Compound Interest Calculator Assuming Additional Annual Savings</t>
  </si>
  <si>
    <t>Cumulative Interest</t>
  </si>
  <si>
    <t>Yearly Deposit</t>
  </si>
  <si>
    <t>Yearly Interest</t>
  </si>
  <si>
    <t>Cumulative Deposits</t>
  </si>
  <si>
    <t>Questions/Comments/Errors?  Please email:</t>
  </si>
  <si>
    <t>Matt.Briskey@gmail.com</t>
  </si>
  <si>
    <r>
      <t xml:space="preserve">If prompted, please enable Macros by clicking </t>
    </r>
    <r>
      <rPr>
        <b/>
        <i/>
        <sz val="11"/>
        <color theme="1"/>
        <rFont val="Calibri"/>
        <family val="2"/>
        <scheme val="minor"/>
      </rPr>
      <t>Enable Content (seen below)</t>
    </r>
    <r>
      <rPr>
        <b/>
        <sz val="11"/>
        <color theme="1"/>
        <rFont val="Calibri"/>
        <family val="2"/>
        <scheme val="minor"/>
      </rPr>
      <t>.  This will allow the workbook to workbook to function properly</t>
    </r>
  </si>
  <si>
    <t>Only change the assumptions (yellow cells) on the Calculator tab under the Inputs header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</si>
</sst>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</fills>
  <borders count="9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4">
    <xf numFmtId="0" fontId="0" fillId="0" borderId="0" xfId="0"/>
    <xf numFmtId="164" fontId="0" fillId="0" borderId="0" xfId="2" applyNumberFormat="1" applyFont="1"/>
    <xf numFmtId="164" fontId="0" fillId="0" borderId="0" xfId="0" applyNumberFormat="1"/>
    <xf numFmtId="10" fontId="0" fillId="0" borderId="0" xfId="3" applyNumberFormat="1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9" fontId="3" fillId="0" borderId="0" xfId="3" applyFont="1" applyAlignment="1">
      <alignment horizontal="center" vertical="center"/>
    </xf>
    <xf numFmtId="0" fontId="0" fillId="0" borderId="0" xfId="0" applyFill="1"/>
    <xf numFmtId="165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9" fontId="4" fillId="3" borderId="0" xfId="3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5" fillId="0" borderId="0" xfId="0" applyFont="1"/>
    <xf numFmtId="0" fontId="3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4" borderId="0" xfId="0" applyNumberFormat="1" applyFont="1" applyFill="1" applyBorder="1" applyAlignment="1">
      <alignment horizontal="right"/>
    </xf>
    <xf numFmtId="0" fontId="0" fillId="4" borderId="0" xfId="0" applyFont="1" applyFill="1" applyBorder="1"/>
    <xf numFmtId="164" fontId="0" fillId="4" borderId="0" xfId="0" applyNumberFormat="1" applyFont="1" applyFill="1" applyBorder="1"/>
    <xf numFmtId="0" fontId="0" fillId="0" borderId="0" xfId="0" applyFont="1" applyBorder="1" applyAlignment="1">
      <alignment horizontal="right" vertical="top"/>
    </xf>
    <xf numFmtId="0" fontId="0" fillId="0" borderId="0" xfId="0" applyFont="1" applyBorder="1"/>
    <xf numFmtId="164" fontId="0" fillId="0" borderId="0" xfId="0" applyNumberFormat="1" applyFont="1" applyBorder="1"/>
    <xf numFmtId="0" fontId="0" fillId="4" borderId="0" xfId="0" applyFont="1" applyFill="1" applyBorder="1" applyAlignment="1">
      <alignment horizontal="right" vertical="top"/>
    </xf>
    <xf numFmtId="0" fontId="5" fillId="0" borderId="1" xfId="0" applyFont="1" applyBorder="1"/>
    <xf numFmtId="0" fontId="2" fillId="0" borderId="2" xfId="0" applyFont="1" applyBorder="1" applyAlignment="1">
      <alignment vertical="center" wrapText="1"/>
    </xf>
    <xf numFmtId="0" fontId="3" fillId="0" borderId="0" xfId="0" applyFont="1" applyAlignment="1">
      <alignment horizontal="left"/>
    </xf>
    <xf numFmtId="0" fontId="0" fillId="0" borderId="2" xfId="0" applyBorder="1"/>
    <xf numFmtId="0" fontId="6" fillId="0" borderId="0" xfId="0" applyFont="1" applyFill="1" applyBorder="1"/>
    <xf numFmtId="0" fontId="0" fillId="0" borderId="0" xfId="0" applyFill="1" applyBorder="1"/>
    <xf numFmtId="0" fontId="2" fillId="5" borderId="0" xfId="0" applyFont="1" applyFill="1" applyBorder="1"/>
    <xf numFmtId="164" fontId="2" fillId="5" borderId="0" xfId="2" applyNumberFormat="1" applyFont="1" applyFill="1" applyBorder="1"/>
    <xf numFmtId="164" fontId="2" fillId="5" borderId="0" xfId="0" applyNumberFormat="1" applyFont="1" applyFill="1" applyBorder="1"/>
    <xf numFmtId="0" fontId="2" fillId="0" borderId="0" xfId="0" applyFont="1" applyFill="1" applyBorder="1"/>
    <xf numFmtId="164" fontId="2" fillId="0" borderId="0" xfId="2" applyNumberFormat="1" applyFont="1" applyFill="1" applyBorder="1"/>
    <xf numFmtId="164" fontId="2" fillId="0" borderId="0" xfId="0" applyNumberFormat="1" applyFont="1" applyFill="1" applyBorder="1"/>
    <xf numFmtId="0" fontId="3" fillId="0" borderId="0" xfId="0" applyFont="1" applyAlignment="1">
      <alignment horizontal="right"/>
    </xf>
    <xf numFmtId="0" fontId="7" fillId="0" borderId="0" xfId="4" applyAlignment="1">
      <alignment horizontal="left"/>
    </xf>
    <xf numFmtId="0" fontId="0" fillId="6" borderId="0" xfId="0" applyFill="1"/>
    <xf numFmtId="164" fontId="0" fillId="2" borderId="5" xfId="2" applyNumberFormat="1" applyFont="1" applyFill="1" applyBorder="1" applyProtection="1">
      <protection locked="0"/>
    </xf>
    <xf numFmtId="1" fontId="0" fillId="2" borderId="5" xfId="1" applyNumberFormat="1" applyFont="1" applyFill="1" applyBorder="1" applyProtection="1">
      <protection locked="0"/>
    </xf>
    <xf numFmtId="9" fontId="0" fillId="2" borderId="8" xfId="3" applyFont="1" applyFill="1" applyBorder="1" applyProtection="1">
      <protection locked="0"/>
    </xf>
    <xf numFmtId="0" fontId="7" fillId="0" borderId="0" xfId="4" applyAlignment="1" applyProtection="1">
      <alignment horizontal="right"/>
      <protection locked="0"/>
    </xf>
    <xf numFmtId="0" fontId="8" fillId="0" borderId="0" xfId="0" applyFont="1" applyAlignment="1">
      <alignment horizontal="left"/>
    </xf>
    <xf numFmtId="0" fontId="9" fillId="0" borderId="0" xfId="0" applyFont="1" applyBorder="1"/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3" formatCode="0%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FF0000"/>
      </font>
      <numFmt numFmtId="2" formatCode="0.00"/>
    </dxf>
  </dxfs>
  <tableStyles count="0" defaultTableStyle="TableStyleMedium2" defaultPivotStyle="PivotStyleLight16"/>
  <colors>
    <mruColors>
      <color rgb="FFCED6FE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References!$B$3</c:f>
          <c:strCache>
            <c:ptCount val="1"/>
            <c:pt idx="0">
              <c:v>Total Balance After 20 Years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Cumulative Deposits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 Balance</c:v>
              </c:pt>
            </c:strLit>
          </c:cat>
          <c:val>
            <c:numRef>
              <c:f>Calculator!$E$115</c:f>
              <c:numCache>
                <c:formatCode>_("$"* #,##0_);_("$"* \(#,##0\);_("$"* "-"??_);_(@_)</c:formatCode>
                <c:ptCount val="1"/>
                <c:pt idx="0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0-4D1F-BD1F-3A10ED5A56F1}"/>
            </c:ext>
          </c:extLst>
        </c:ser>
        <c:ser>
          <c:idx val="1"/>
          <c:order val="1"/>
          <c:tx>
            <c:v>Cumulative Interest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 Balance</c:v>
              </c:pt>
            </c:strLit>
          </c:cat>
          <c:val>
            <c:numRef>
              <c:f>Calculator!$G$115</c:f>
              <c:numCache>
                <c:formatCode>_("$"* #,##0_);_("$"* \(#,##0\);_("$"* "-"??_);_(@_)</c:formatCode>
                <c:ptCount val="1"/>
                <c:pt idx="0">
                  <c:v>563394.0695489326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60-4D1F-BD1F-3A10ED5A56F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4642032"/>
        <c:axId val="784640720"/>
      </c:barChart>
      <c:lineChart>
        <c:grouping val="standard"/>
        <c:varyColors val="0"/>
        <c:ser>
          <c:idx val="2"/>
          <c:order val="2"/>
          <c:tx>
            <c:v>Total Balance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Calculator!$H$115</c:f>
              <c:numCache>
                <c:formatCode>_("$"* #,##0_);_("$"* \(#,##0\);_("$"* "-"??_);_(@_)</c:formatCode>
                <c:ptCount val="1"/>
                <c:pt idx="0">
                  <c:v>1013394.0695489326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A-44D4-97CD-E951E6E3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642032"/>
        <c:axId val="784640720"/>
      </c:lineChart>
      <c:catAx>
        <c:axId val="78464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640720"/>
        <c:crosses val="autoZero"/>
        <c:auto val="1"/>
        <c:lblAlgn val="ctr"/>
        <c:lblOffset val="100"/>
        <c:noMultiLvlLbl val="0"/>
      </c:catAx>
      <c:valAx>
        <c:axId val="78464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64203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Cumulative</a:t>
            </a:r>
            <a:r>
              <a:rPr lang="en-US" b="1" baseline="0"/>
              <a:t> Deposits vs. Interest By Age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Cumulative Deposits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Calculator!$B$39:$B$113</c:f>
              <c:numCache>
                <c:formatCode>General</c:formatCode>
                <c:ptCount val="21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31</c:v>
                </c:pt>
                <c:pt idx="5">
                  <c:v>32</c:v>
                </c:pt>
                <c:pt idx="6">
                  <c:v>33</c:v>
                </c:pt>
                <c:pt idx="7">
                  <c:v>34</c:v>
                </c:pt>
                <c:pt idx="8">
                  <c:v>35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41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45</c:v>
                </c:pt>
                <c:pt idx="19">
                  <c:v>46</c:v>
                </c:pt>
                <c:pt idx="20">
                  <c:v>47</c:v>
                </c:pt>
              </c:numCache>
            </c:numRef>
          </c:cat>
          <c:val>
            <c:numRef>
              <c:f>Calculator!$E$39:$E$113</c:f>
              <c:numCache>
                <c:formatCode>_("$"* #,##0_);_("$"* \(#,##0\);_("$"* "-"??_);_(@_)</c:formatCode>
                <c:ptCount val="21"/>
                <c:pt idx="0">
                  <c:v>50000</c:v>
                </c:pt>
                <c:pt idx="1">
                  <c:v>70000</c:v>
                </c:pt>
                <c:pt idx="2">
                  <c:v>90000</c:v>
                </c:pt>
                <c:pt idx="3">
                  <c:v>110000</c:v>
                </c:pt>
                <c:pt idx="4">
                  <c:v>130000</c:v>
                </c:pt>
                <c:pt idx="5">
                  <c:v>150000</c:v>
                </c:pt>
                <c:pt idx="6">
                  <c:v>170000</c:v>
                </c:pt>
                <c:pt idx="7">
                  <c:v>190000</c:v>
                </c:pt>
                <c:pt idx="8">
                  <c:v>210000</c:v>
                </c:pt>
                <c:pt idx="9">
                  <c:v>230000</c:v>
                </c:pt>
                <c:pt idx="10">
                  <c:v>250000</c:v>
                </c:pt>
                <c:pt idx="11">
                  <c:v>270000</c:v>
                </c:pt>
                <c:pt idx="12">
                  <c:v>290000</c:v>
                </c:pt>
                <c:pt idx="13">
                  <c:v>310000</c:v>
                </c:pt>
                <c:pt idx="14">
                  <c:v>330000</c:v>
                </c:pt>
                <c:pt idx="15">
                  <c:v>350000</c:v>
                </c:pt>
                <c:pt idx="16">
                  <c:v>370000</c:v>
                </c:pt>
                <c:pt idx="17">
                  <c:v>390000</c:v>
                </c:pt>
                <c:pt idx="18">
                  <c:v>410000</c:v>
                </c:pt>
                <c:pt idx="19">
                  <c:v>430000</c:v>
                </c:pt>
                <c:pt idx="20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6-4104-B85A-F19D56E7C188}"/>
            </c:ext>
          </c:extLst>
        </c:ser>
        <c:ser>
          <c:idx val="1"/>
          <c:order val="1"/>
          <c:tx>
            <c:v>Cumulative Interest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Calculator!$B$39:$B$113</c:f>
              <c:numCache>
                <c:formatCode>General</c:formatCode>
                <c:ptCount val="21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31</c:v>
                </c:pt>
                <c:pt idx="5">
                  <c:v>32</c:v>
                </c:pt>
                <c:pt idx="6">
                  <c:v>33</c:v>
                </c:pt>
                <c:pt idx="7">
                  <c:v>34</c:v>
                </c:pt>
                <c:pt idx="8">
                  <c:v>35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41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45</c:v>
                </c:pt>
                <c:pt idx="19">
                  <c:v>46</c:v>
                </c:pt>
                <c:pt idx="20">
                  <c:v>47</c:v>
                </c:pt>
              </c:numCache>
            </c:numRef>
          </c:cat>
          <c:val>
            <c:numRef>
              <c:f>Calculator!$G$39:$G$113</c:f>
              <c:numCache>
                <c:formatCode>_("$"* #,##0_);_("$"* \(#,##0\);_("$"* "-"??_);_(@_)</c:formatCode>
                <c:ptCount val="21"/>
                <c:pt idx="0">
                  <c:v>0</c:v>
                </c:pt>
                <c:pt idx="1">
                  <c:v>3500</c:v>
                </c:pt>
                <c:pt idx="2">
                  <c:v>8645</c:v>
                </c:pt>
                <c:pt idx="3">
                  <c:v>15550.150000000009</c:v>
                </c:pt>
                <c:pt idx="4">
                  <c:v>24338.660500000027</c:v>
                </c:pt>
                <c:pt idx="5">
                  <c:v>35142.366735000047</c:v>
                </c:pt>
                <c:pt idx="6">
                  <c:v>48102.332406450063</c:v>
                </c:pt>
                <c:pt idx="7">
                  <c:v>63369.495674901584</c:v>
                </c:pt>
                <c:pt idx="8">
                  <c:v>81105.360372144729</c:v>
                </c:pt>
                <c:pt idx="9">
                  <c:v>101482.73559819488</c:v>
                </c:pt>
                <c:pt idx="10">
                  <c:v>124686.52709006856</c:v>
                </c:pt>
                <c:pt idx="11">
                  <c:v>150914.58398637339</c:v>
                </c:pt>
                <c:pt idx="12">
                  <c:v>180378.60486541956</c:v>
                </c:pt>
                <c:pt idx="13">
                  <c:v>213305.10720599897</c:v>
                </c:pt>
                <c:pt idx="14">
                  <c:v>249936.46471041895</c:v>
                </c:pt>
                <c:pt idx="15">
                  <c:v>290532.01724014827</c:v>
                </c:pt>
                <c:pt idx="16">
                  <c:v>335369.25844695873</c:v>
                </c:pt>
                <c:pt idx="17">
                  <c:v>384745.10653824592</c:v>
                </c:pt>
                <c:pt idx="18">
                  <c:v>438977.26399592322</c:v>
                </c:pt>
                <c:pt idx="19">
                  <c:v>498405.67247563787</c:v>
                </c:pt>
                <c:pt idx="20">
                  <c:v>563394.0695489326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76-4104-B85A-F19D56E7C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707304"/>
        <c:axId val="870712224"/>
      </c:areaChart>
      <c:lineChart>
        <c:grouping val="standard"/>
        <c:varyColors val="0"/>
        <c:ser>
          <c:idx val="2"/>
          <c:order val="2"/>
          <c:tx>
            <c:v>Total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Calculator!$H$39:$H$113</c:f>
              <c:numCache>
                <c:formatCode>_("$"* #,##0_);_("$"* \(#,##0\);_("$"* "-"??_);_(@_)</c:formatCode>
                <c:ptCount val="21"/>
                <c:pt idx="0">
                  <c:v>50000</c:v>
                </c:pt>
                <c:pt idx="1">
                  <c:v>73500</c:v>
                </c:pt>
                <c:pt idx="2">
                  <c:v>98645</c:v>
                </c:pt>
                <c:pt idx="3">
                  <c:v>125550.15000000001</c:v>
                </c:pt>
                <c:pt idx="4">
                  <c:v>154338.66050000003</c:v>
                </c:pt>
                <c:pt idx="5">
                  <c:v>185142.36673500005</c:v>
                </c:pt>
                <c:pt idx="6">
                  <c:v>218102.33240645006</c:v>
                </c:pt>
                <c:pt idx="7">
                  <c:v>253369.49567490158</c:v>
                </c:pt>
                <c:pt idx="8">
                  <c:v>291105.36037214473</c:v>
                </c:pt>
                <c:pt idx="9">
                  <c:v>331482.73559819488</c:v>
                </c:pt>
                <c:pt idx="10">
                  <c:v>374686.52709006856</c:v>
                </c:pt>
                <c:pt idx="11">
                  <c:v>420914.58398637339</c:v>
                </c:pt>
                <c:pt idx="12">
                  <c:v>470378.60486541956</c:v>
                </c:pt>
                <c:pt idx="13">
                  <c:v>523305.10720599897</c:v>
                </c:pt>
                <c:pt idx="14">
                  <c:v>579936.46471041895</c:v>
                </c:pt>
                <c:pt idx="15">
                  <c:v>640532.01724014827</c:v>
                </c:pt>
                <c:pt idx="16">
                  <c:v>705369.25844695873</c:v>
                </c:pt>
                <c:pt idx="17">
                  <c:v>774745.10653824592</c:v>
                </c:pt>
                <c:pt idx="18">
                  <c:v>848977.26399592322</c:v>
                </c:pt>
                <c:pt idx="19">
                  <c:v>928405.67247563787</c:v>
                </c:pt>
                <c:pt idx="20">
                  <c:v>1013394.0695489326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6-4104-B85A-F19D56E7C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707304"/>
        <c:axId val="870712224"/>
      </c:lineChart>
      <c:catAx>
        <c:axId val="870707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712224"/>
        <c:crosses val="autoZero"/>
        <c:auto val="1"/>
        <c:lblAlgn val="ctr"/>
        <c:lblOffset val="100"/>
        <c:noMultiLvlLbl val="0"/>
      </c:catAx>
      <c:valAx>
        <c:axId val="87071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707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419098</xdr:colOff>
      <xdr:row>15</xdr:row>
      <xdr:rowOff>133349</xdr:rowOff>
    </xdr:from>
    <xdr:to>
      <xdr:col>3</xdr:col>
      <xdr:colOff>590549</xdr:colOff>
      <xdr:row>19</xdr:row>
      <xdr:rowOff>85725</xdr:rowOff>
    </xdr:to>
    <xdr:sp macro="[0]!Interes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9098" y="2990849"/>
          <a:ext cx="4114801" cy="714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Click</a:t>
          </a:r>
          <a:r>
            <a:rPr lang="en-US" sz="1100" b="1" baseline="0"/>
            <a:t> to go to </a:t>
          </a:r>
          <a:r>
            <a:rPr lang="en-US" sz="1100" b="1"/>
            <a:t>Calculator tab</a:t>
          </a:r>
        </a:p>
      </xdr:txBody>
    </xdr:sp>
    <xdr:clientData/>
  </xdr:twoCellAnchor>
  <xdr:twoCellAnchor editAs="oneCell">
    <xdr:from>
      <xdr:col>0</xdr:col>
      <xdr:colOff>57150</xdr:colOff>
      <xdr:row>3</xdr:row>
      <xdr:rowOff>95250</xdr:rowOff>
    </xdr:from>
    <xdr:to>
      <xdr:col>4</xdr:col>
      <xdr:colOff>505520</xdr:colOff>
      <xdr:row>5</xdr:row>
      <xdr:rowOff>19093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42A1D8-9571-4CC6-8D44-A36B19F40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666750"/>
          <a:ext cx="4982270" cy="30484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1</xdr:col>
      <xdr:colOff>257573</xdr:colOff>
      <xdr:row>13</xdr:row>
      <xdr:rowOff>57310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7656EAC-8348-4290-8093-2DCA828A7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" y="1390650"/>
          <a:ext cx="2848373" cy="1143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13</xdr:row>
      <xdr:rowOff>123825</xdr:rowOff>
    </xdr:from>
    <xdr:to>
      <xdr:col>4</xdr:col>
      <xdr:colOff>428625</xdr:colOff>
      <xdr:row>36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591885-58BC-4278-94F7-4E883A8B9C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500062</xdr:colOff>
      <xdr:row>13</xdr:row>
      <xdr:rowOff>123825</xdr:rowOff>
    </xdr:from>
    <xdr:to>
      <xdr:col>7</xdr:col>
      <xdr:colOff>1371600</xdr:colOff>
      <xdr:row>36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0CB81F-0190-4BAE-A2DF-63229D90EF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6EBF97-9FC5-4BD0-9E52-A6C4D1202B18}" name="Table3" displayName="Table3" ref="B38:H113" totalsRowShown="0" headerRowDxfId="8" dataDxfId="7" headerRowCellStyle="Percent">
  <tableColumns count="7">
    <tableColumn id="1" xr3:uid="{1B7F7A57-ADAD-4ED0-846D-BEA03C8B04EE}" name="Age" dataDxfId="6">
      <calculatedColumnFormula>+B38+1</calculatedColumnFormula>
    </tableColumn>
    <tableColumn id="2" xr3:uid="{BCED7B5E-849C-4827-BCFD-E03B54CD47CB}" name="Years From Now" dataDxfId="5">
      <calculatedColumnFormula>+C38+1</calculatedColumnFormula>
    </tableColumn>
    <tableColumn id="3" xr3:uid="{03B2E4BA-33B4-493A-B3B9-F9B967F1EC9E}" name="Yearly Deposit" dataDxfId="4">
      <calculatedColumnFormula>+$C$5</calculatedColumnFormula>
    </tableColumn>
    <tableColumn id="7" xr3:uid="{3427AC9D-DD39-40B0-B1C0-F752339B540E}" name="Cumulative Deposits" dataDxfId="3">
      <calculatedColumnFormula>+Table3[[#This Row],[Yearly Deposit]]</calculatedColumnFormula>
    </tableColumn>
    <tableColumn id="4" xr3:uid="{84113F15-7B61-4EFC-B1A4-C655EA073D86}" name="Yearly Interest" dataDxfId="2">
      <calculatedColumnFormula>+H38*(1+$C$8)-H38</calculatedColumnFormula>
    </tableColumn>
    <tableColumn id="8" xr3:uid="{B21D7F94-ABE2-46D1-9A81-71373FC230E7}" name="Cumulative Interest" dataDxfId="1">
      <calculatedColumnFormula>+Table3[[#This Row],[Yearly Interest]]+G38</calculatedColumnFormula>
    </tableColumn>
    <tableColumn id="5" xr3:uid="{441C38DF-B2AA-4489-8C08-EDE948FC014C}" name="Balance" dataDxfId="0">
      <calculatedColumnFormula>+F39+D39+H38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tt.Briskey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tt.Briskey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FAF02-BCC4-4C1E-B26C-0F05F73A2387}">
  <sheetPr codeName="Sheet1">
    <tabColor rgb="FFC00000"/>
    <pageSetUpPr fitToPage="1"/>
  </sheetPr>
  <dimension ref="A1:K23"/>
  <sheetViews>
    <sheetView showGridLines="0" zoomScaleNormal="100" workbookViewId="0">
      <selection activeCell="C12" sqref="C12"/>
    </sheetView>
  </sheetViews>
  <sheetFormatPr baseColWidth="10" defaultColWidth="8.83203125" defaultRowHeight="15" x14ac:dyDescent="0.2"/>
  <cols>
    <col min="1" max="1" width="41.5" bestFit="1" customWidth="1"/>
  </cols>
  <sheetData>
    <row r="1" spans="1:11" x14ac:dyDescent="0.2">
      <c r="A1" s="14" t="s">
        <v>14</v>
      </c>
    </row>
    <row r="3" spans="1:11" x14ac:dyDescent="0.2">
      <c r="A3" s="4" t="s">
        <v>21</v>
      </c>
    </row>
    <row r="6" spans="1:11" x14ac:dyDescent="0.2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 x14ac:dyDescent="0.2">
      <c r="A7" s="4" t="s">
        <v>22</v>
      </c>
    </row>
    <row r="8" spans="1:11" x14ac:dyDescent="0.2">
      <c r="A8" s="4"/>
    </row>
    <row r="9" spans="1:11" x14ac:dyDescent="0.2">
      <c r="A9" s="4"/>
    </row>
    <row r="10" spans="1:11" x14ac:dyDescent="0.2">
      <c r="A10" s="4"/>
    </row>
    <row r="11" spans="1:11" x14ac:dyDescent="0.2">
      <c r="A11" s="4"/>
    </row>
    <row r="12" spans="1:11" x14ac:dyDescent="0.2">
      <c r="A12" s="4"/>
    </row>
    <row r="13" spans="1:11" x14ac:dyDescent="0.2">
      <c r="A13" s="4"/>
    </row>
    <row r="14" spans="1:11" x14ac:dyDescent="0.2">
      <c r="A14" s="4"/>
    </row>
    <row r="15" spans="1:11" x14ac:dyDescent="0.2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</row>
    <row r="21" spans="1:11" x14ac:dyDescent="0.2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2" spans="1:11" x14ac:dyDescent="0.2">
      <c r="A22" s="46" t="s">
        <v>19</v>
      </c>
    </row>
    <row r="23" spans="1:11" x14ac:dyDescent="0.2">
      <c r="A23" s="40" t="s">
        <v>20</v>
      </c>
    </row>
  </sheetData>
  <hyperlinks>
    <hyperlink ref="A23" r:id="rId1" xr:uid="{451D22BC-8897-46A6-BC48-6937450735B8}"/>
  </hyperlinks>
  <pageMargins left="0.7" right="0.7" top="0.75" bottom="0.75" header="0.3" footer="0.3"/>
  <pageSetup scale="70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E30D-8BD1-4918-8030-061B92C2566A}">
  <sheetPr codeName="Sheet3">
    <tabColor rgb="FF0070C0"/>
    <pageSetUpPr fitToPage="1"/>
  </sheetPr>
  <dimension ref="B1:T116"/>
  <sheetViews>
    <sheetView showGridLines="0" tabSelected="1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D10" sqref="D10"/>
    </sheetView>
  </sheetViews>
  <sheetFormatPr baseColWidth="10" defaultColWidth="8.83203125" defaultRowHeight="15" x14ac:dyDescent="0.2"/>
  <cols>
    <col min="1" max="1" width="1" customWidth="1"/>
    <col min="2" max="2" width="25.5" customWidth="1"/>
    <col min="3" max="3" width="17.83203125" customWidth="1"/>
    <col min="4" max="4" width="14.5" bestFit="1" customWidth="1"/>
    <col min="5" max="5" width="21.33203125" bestFit="1" customWidth="1"/>
    <col min="6" max="6" width="14.5" bestFit="1" customWidth="1"/>
    <col min="7" max="7" width="19.1640625" bestFit="1" customWidth="1"/>
    <col min="8" max="8" width="20.83203125" bestFit="1" customWidth="1"/>
    <col min="9" max="9" width="12.5" bestFit="1" customWidth="1"/>
    <col min="10" max="19" width="8.83203125" customWidth="1"/>
    <col min="20" max="20" width="15.1640625" customWidth="1"/>
    <col min="21" max="25" width="8.83203125" customWidth="1"/>
  </cols>
  <sheetData>
    <row r="1" spans="2:20" x14ac:dyDescent="0.2">
      <c r="B1" s="14" t="s">
        <v>14</v>
      </c>
    </row>
    <row r="2" spans="2:20" ht="16" thickBot="1" x14ac:dyDescent="0.25"/>
    <row r="3" spans="2:20" x14ac:dyDescent="0.2">
      <c r="B3" s="27" t="s">
        <v>12</v>
      </c>
      <c r="C3" s="16"/>
      <c r="D3" s="19"/>
    </row>
    <row r="4" spans="2:20" x14ac:dyDescent="0.2">
      <c r="B4" s="17" t="s">
        <v>0</v>
      </c>
      <c r="C4" s="42">
        <v>50000</v>
      </c>
      <c r="D4" s="19"/>
    </row>
    <row r="5" spans="2:20" ht="15" customHeight="1" x14ac:dyDescent="0.2">
      <c r="B5" s="17" t="s">
        <v>1</v>
      </c>
      <c r="C5" s="42">
        <v>20000</v>
      </c>
      <c r="D5" s="47" t="str">
        <f>"You need to save "&amp;DOLLAR(C5/12,0)&amp;" per month to achieve this"</f>
        <v>You need to save $1,667 per month to achieve this</v>
      </c>
      <c r="F5" s="13"/>
      <c r="G5" s="13"/>
      <c r="H5" s="13"/>
      <c r="I5" s="13"/>
    </row>
    <row r="6" spans="2:20" x14ac:dyDescent="0.2">
      <c r="B6" s="17" t="s">
        <v>2</v>
      </c>
      <c r="C6" s="43">
        <v>27</v>
      </c>
      <c r="D6" s="19"/>
      <c r="E6" s="13"/>
      <c r="F6" s="13"/>
      <c r="G6" s="13"/>
      <c r="H6" s="13"/>
      <c r="I6" s="13"/>
    </row>
    <row r="7" spans="2:20" x14ac:dyDescent="0.2">
      <c r="B7" s="17" t="s">
        <v>7</v>
      </c>
      <c r="C7" s="43">
        <v>20</v>
      </c>
      <c r="D7" s="19"/>
      <c r="H7" s="39" t="s">
        <v>19</v>
      </c>
    </row>
    <row r="8" spans="2:20" ht="16" thickBot="1" x14ac:dyDescent="0.25">
      <c r="B8" s="18" t="s">
        <v>5</v>
      </c>
      <c r="C8" s="44">
        <v>7.0000000000000007E-2</v>
      </c>
      <c r="D8" s="19"/>
      <c r="E8" s="1"/>
      <c r="H8" s="45" t="s">
        <v>20</v>
      </c>
    </row>
    <row r="9" spans="2:20" ht="16" thickBot="1" x14ac:dyDescent="0.25">
      <c r="B9" s="19"/>
      <c r="C9" s="19"/>
      <c r="D9" s="19"/>
    </row>
    <row r="10" spans="2:20" ht="15" customHeight="1" x14ac:dyDescent="0.2">
      <c r="B10" s="27" t="s">
        <v>13</v>
      </c>
      <c r="C10" s="28"/>
      <c r="D10" s="28"/>
      <c r="E10" s="28"/>
      <c r="F10" s="28"/>
      <c r="G10" s="30"/>
      <c r="H10" s="16"/>
      <c r="T10" s="9"/>
    </row>
    <row r="11" spans="2:20" ht="15" customHeight="1" x14ac:dyDescent="0.2">
      <c r="B11" s="48" t="str">
        <f>"After "&amp;C7&amp;" years, the total balance will be "&amp;TEXT(H115,"$ #,##0 ;")&amp;".  You will have contributed  "&amp;TEXT(E115,"$ #,##0 ;")&amp;" and will have earned "&amp;TEXT(G115,"$ #,##0 ;")&amp;" in interest assuming a "&amp;TEXT(C8,"0%")&amp;" interest rate."</f>
        <v>After 20 years, the total balance will be $ 1,013,394 .  You will have contributed  $ 450,000  and will have earned $ 563,394  in interest assuming a 7% interest rate.</v>
      </c>
      <c r="C11" s="49"/>
      <c r="D11" s="49"/>
      <c r="E11" s="49"/>
      <c r="F11" s="49"/>
      <c r="G11" s="49"/>
      <c r="H11" s="50"/>
      <c r="T11" s="9"/>
    </row>
    <row r="12" spans="2:20" x14ac:dyDescent="0.2">
      <c r="B12" s="48"/>
      <c r="C12" s="49"/>
      <c r="D12" s="49"/>
      <c r="E12" s="49"/>
      <c r="F12" s="49"/>
      <c r="G12" s="49"/>
      <c r="H12" s="50"/>
      <c r="T12" s="9"/>
    </row>
    <row r="13" spans="2:20" ht="16" thickBot="1" x14ac:dyDescent="0.25">
      <c r="B13" s="51"/>
      <c r="C13" s="52"/>
      <c r="D13" s="52"/>
      <c r="E13" s="52"/>
      <c r="F13" s="52"/>
      <c r="G13" s="52"/>
      <c r="H13" s="53"/>
      <c r="T13" s="9"/>
    </row>
    <row r="14" spans="2:20" x14ac:dyDescent="0.2">
      <c r="T14" s="9"/>
    </row>
    <row r="15" spans="2:20" x14ac:dyDescent="0.2">
      <c r="T15" s="9"/>
    </row>
    <row r="16" spans="2:20" x14ac:dyDescent="0.2">
      <c r="T16" s="9"/>
    </row>
    <row r="17" spans="20:20" x14ac:dyDescent="0.2">
      <c r="T17" s="9"/>
    </row>
    <row r="18" spans="20:20" x14ac:dyDescent="0.2">
      <c r="T18" s="9"/>
    </row>
    <row r="19" spans="20:20" x14ac:dyDescent="0.2">
      <c r="T19" s="9"/>
    </row>
    <row r="20" spans="20:20" x14ac:dyDescent="0.2">
      <c r="T20" s="9"/>
    </row>
    <row r="21" spans="20:20" x14ac:dyDescent="0.2">
      <c r="T21" s="9"/>
    </row>
    <row r="22" spans="20:20" x14ac:dyDescent="0.2">
      <c r="T22" s="9"/>
    </row>
    <row r="23" spans="20:20" x14ac:dyDescent="0.2">
      <c r="T23" s="9"/>
    </row>
    <row r="24" spans="20:20" x14ac:dyDescent="0.2">
      <c r="T24" s="9"/>
    </row>
    <row r="25" spans="20:20" x14ac:dyDescent="0.2">
      <c r="T25" s="9"/>
    </row>
    <row r="26" spans="20:20" x14ac:dyDescent="0.2">
      <c r="T26" s="9"/>
    </row>
    <row r="27" spans="20:20" x14ac:dyDescent="0.2">
      <c r="T27" s="9"/>
    </row>
    <row r="28" spans="20:20" x14ac:dyDescent="0.2">
      <c r="T28" s="9"/>
    </row>
    <row r="29" spans="20:20" x14ac:dyDescent="0.2">
      <c r="T29" s="9"/>
    </row>
    <row r="30" spans="20:20" x14ac:dyDescent="0.2">
      <c r="T30" s="9"/>
    </row>
    <row r="31" spans="20:20" x14ac:dyDescent="0.2">
      <c r="T31" s="9"/>
    </row>
    <row r="32" spans="20:20" x14ac:dyDescent="0.2">
      <c r="T32" s="9"/>
    </row>
    <row r="33" spans="2:20" x14ac:dyDescent="0.2">
      <c r="T33" s="9"/>
    </row>
    <row r="34" spans="2:20" x14ac:dyDescent="0.2">
      <c r="T34" s="9"/>
    </row>
    <row r="35" spans="2:20" x14ac:dyDescent="0.2">
      <c r="T35" s="9"/>
    </row>
    <row r="36" spans="2:20" x14ac:dyDescent="0.2">
      <c r="T36" s="9"/>
    </row>
    <row r="37" spans="2:20" x14ac:dyDescent="0.2">
      <c r="T37" s="9"/>
    </row>
    <row r="38" spans="2:20" x14ac:dyDescent="0.2">
      <c r="B38" s="11" t="s">
        <v>3</v>
      </c>
      <c r="C38" s="11" t="s">
        <v>4</v>
      </c>
      <c r="D38" s="12" t="s">
        <v>16</v>
      </c>
      <c r="E38" s="12" t="s">
        <v>18</v>
      </c>
      <c r="F38" s="12" t="s">
        <v>17</v>
      </c>
      <c r="G38" s="12" t="s">
        <v>15</v>
      </c>
      <c r="H38" s="12" t="s">
        <v>6</v>
      </c>
      <c r="I38" s="6"/>
      <c r="J38" s="6"/>
      <c r="K38" s="6"/>
      <c r="L38" s="5"/>
      <c r="M38" s="5"/>
      <c r="N38" s="5"/>
      <c r="O38" s="5"/>
      <c r="P38" s="5"/>
      <c r="Q38" s="5"/>
      <c r="R38" s="5"/>
      <c r="S38" s="5"/>
      <c r="T38" s="5"/>
    </row>
    <row r="39" spans="2:20" s="5" customFormat="1" x14ac:dyDescent="0.2">
      <c r="B39" s="20">
        <f>+C6</f>
        <v>27</v>
      </c>
      <c r="C39" s="21">
        <v>0</v>
      </c>
      <c r="D39" s="22">
        <f>+C4</f>
        <v>50000</v>
      </c>
      <c r="E39" s="22">
        <f>+Table3[[#This Row],[Yearly Deposit]]</f>
        <v>50000</v>
      </c>
      <c r="F39" s="22">
        <v>0</v>
      </c>
      <c r="G39" s="22">
        <v>0</v>
      </c>
      <c r="H39" s="22">
        <f>+D39+F39</f>
        <v>50000</v>
      </c>
      <c r="I39" s="2"/>
      <c r="J39" s="2"/>
      <c r="K39" s="2"/>
      <c r="L39"/>
      <c r="M39"/>
      <c r="N39"/>
      <c r="O39"/>
      <c r="P39"/>
      <c r="Q39"/>
      <c r="R39"/>
      <c r="S39"/>
      <c r="T39"/>
    </row>
    <row r="40" spans="2:20" x14ac:dyDescent="0.2">
      <c r="B40" s="23">
        <f>+B39+1</f>
        <v>28</v>
      </c>
      <c r="C40" s="24">
        <f>+C39+1</f>
        <v>1</v>
      </c>
      <c r="D40" s="25">
        <f>+$C$5</f>
        <v>20000</v>
      </c>
      <c r="E40" s="25">
        <f>+Table3[[#This Row],[Yearly Deposit]]+E39</f>
        <v>70000</v>
      </c>
      <c r="F40" s="25">
        <f>+H39*(1+$C$8)-H39</f>
        <v>3500</v>
      </c>
      <c r="G40" s="25">
        <f>+Table3[[#This Row],[Yearly Interest]]+G39</f>
        <v>3500</v>
      </c>
      <c r="H40" s="25">
        <f t="shared" ref="H40:H71" si="0">+F40+D40+H39</f>
        <v>73500</v>
      </c>
      <c r="I40" s="3"/>
      <c r="J40" s="2"/>
      <c r="K40" s="2"/>
    </row>
    <row r="41" spans="2:20" x14ac:dyDescent="0.2">
      <c r="B41" s="26">
        <f t="shared" ref="B41:C41" si="1">+B40+1</f>
        <v>29</v>
      </c>
      <c r="C41" s="21">
        <f t="shared" si="1"/>
        <v>2</v>
      </c>
      <c r="D41" s="22">
        <f t="shared" ref="D41:D104" si="2">+$C$5</f>
        <v>20000</v>
      </c>
      <c r="E41" s="25">
        <f>+Table3[[#This Row],[Yearly Deposit]]+E40</f>
        <v>90000</v>
      </c>
      <c r="F41" s="22">
        <f>+H40*(1+$C$8)-H40</f>
        <v>5145</v>
      </c>
      <c r="G41" s="22">
        <f>+Table3[[#This Row],[Yearly Interest]]+G40</f>
        <v>8645</v>
      </c>
      <c r="H41" s="22">
        <f t="shared" si="0"/>
        <v>98645</v>
      </c>
      <c r="I41" s="2"/>
      <c r="J41" s="2"/>
      <c r="K41" s="2"/>
    </row>
    <row r="42" spans="2:20" x14ac:dyDescent="0.2">
      <c r="B42" s="23">
        <f t="shared" ref="B42:C42" si="3">+B41+1</f>
        <v>30</v>
      </c>
      <c r="C42" s="24">
        <f t="shared" si="3"/>
        <v>3</v>
      </c>
      <c r="D42" s="25">
        <f t="shared" si="2"/>
        <v>20000</v>
      </c>
      <c r="E42" s="25">
        <f>+Table3[[#This Row],[Yearly Deposit]]+E41</f>
        <v>110000</v>
      </c>
      <c r="F42" s="25">
        <f t="shared" ref="F42:F105" si="4">+H41*(1+$C$8)-H41</f>
        <v>6905.1500000000087</v>
      </c>
      <c r="G42" s="25">
        <f>+Table3[[#This Row],[Yearly Interest]]+G41</f>
        <v>15550.150000000009</v>
      </c>
      <c r="H42" s="25">
        <f t="shared" si="0"/>
        <v>125550.15000000001</v>
      </c>
      <c r="I42" s="2"/>
      <c r="J42" s="2"/>
      <c r="K42" s="2"/>
    </row>
    <row r="43" spans="2:20" x14ac:dyDescent="0.2">
      <c r="B43" s="26">
        <f t="shared" ref="B43:C43" si="5">+B42+1</f>
        <v>31</v>
      </c>
      <c r="C43" s="21">
        <f t="shared" si="5"/>
        <v>4</v>
      </c>
      <c r="D43" s="22">
        <f t="shared" si="2"/>
        <v>20000</v>
      </c>
      <c r="E43" s="25">
        <f>+Table3[[#This Row],[Yearly Deposit]]+E42</f>
        <v>130000</v>
      </c>
      <c r="F43" s="22">
        <f t="shared" si="4"/>
        <v>8788.5105000000185</v>
      </c>
      <c r="G43" s="22">
        <f>+Table3[[#This Row],[Yearly Interest]]+G42</f>
        <v>24338.660500000027</v>
      </c>
      <c r="H43" s="22">
        <f t="shared" si="0"/>
        <v>154338.66050000003</v>
      </c>
      <c r="I43" s="2"/>
      <c r="J43" s="2"/>
      <c r="K43" s="2"/>
    </row>
    <row r="44" spans="2:20" x14ac:dyDescent="0.2">
      <c r="B44" s="23">
        <f t="shared" ref="B44:C44" si="6">+B43+1</f>
        <v>32</v>
      </c>
      <c r="C44" s="24">
        <f t="shared" si="6"/>
        <v>5</v>
      </c>
      <c r="D44" s="25">
        <f t="shared" si="2"/>
        <v>20000</v>
      </c>
      <c r="E44" s="25">
        <f>+Table3[[#This Row],[Yearly Deposit]]+E43</f>
        <v>150000</v>
      </c>
      <c r="F44" s="25">
        <f t="shared" si="4"/>
        <v>10803.70623500002</v>
      </c>
      <c r="G44" s="25">
        <f>+Table3[[#This Row],[Yearly Interest]]+G43</f>
        <v>35142.366735000047</v>
      </c>
      <c r="H44" s="25">
        <f t="shared" si="0"/>
        <v>185142.36673500005</v>
      </c>
      <c r="I44" s="2"/>
      <c r="J44" s="2"/>
      <c r="K44" s="2"/>
    </row>
    <row r="45" spans="2:20" x14ac:dyDescent="0.2">
      <c r="B45" s="26">
        <f t="shared" ref="B45:C45" si="7">+B44+1</f>
        <v>33</v>
      </c>
      <c r="C45" s="21">
        <f t="shared" si="7"/>
        <v>6</v>
      </c>
      <c r="D45" s="22">
        <f t="shared" si="2"/>
        <v>20000</v>
      </c>
      <c r="E45" s="25">
        <f>+Table3[[#This Row],[Yearly Deposit]]+E44</f>
        <v>170000</v>
      </c>
      <c r="F45" s="22">
        <f t="shared" si="4"/>
        <v>12959.965671450016</v>
      </c>
      <c r="G45" s="22">
        <f>+Table3[[#This Row],[Yearly Interest]]+G44</f>
        <v>48102.332406450063</v>
      </c>
      <c r="H45" s="22">
        <f t="shared" si="0"/>
        <v>218102.33240645006</v>
      </c>
      <c r="I45" s="2"/>
      <c r="J45" s="2"/>
      <c r="K45" s="2"/>
    </row>
    <row r="46" spans="2:20" x14ac:dyDescent="0.2">
      <c r="B46" s="23">
        <f t="shared" ref="B46:C46" si="8">+B45+1</f>
        <v>34</v>
      </c>
      <c r="C46" s="24">
        <f t="shared" si="8"/>
        <v>7</v>
      </c>
      <c r="D46" s="25">
        <f t="shared" si="2"/>
        <v>20000</v>
      </c>
      <c r="E46" s="25">
        <f>+Table3[[#This Row],[Yearly Deposit]]+E45</f>
        <v>190000</v>
      </c>
      <c r="F46" s="25">
        <f t="shared" si="4"/>
        <v>15267.163268451521</v>
      </c>
      <c r="G46" s="25">
        <f>+Table3[[#This Row],[Yearly Interest]]+G45</f>
        <v>63369.495674901584</v>
      </c>
      <c r="H46" s="25">
        <f t="shared" si="0"/>
        <v>253369.49567490158</v>
      </c>
      <c r="I46" s="2"/>
      <c r="J46" s="2"/>
      <c r="K46" s="2"/>
    </row>
    <row r="47" spans="2:20" x14ac:dyDescent="0.2">
      <c r="B47" s="26">
        <f t="shared" ref="B47:C47" si="9">+B46+1</f>
        <v>35</v>
      </c>
      <c r="C47" s="21">
        <f t="shared" si="9"/>
        <v>8</v>
      </c>
      <c r="D47" s="22">
        <f t="shared" si="2"/>
        <v>20000</v>
      </c>
      <c r="E47" s="25">
        <f>+Table3[[#This Row],[Yearly Deposit]]+E46</f>
        <v>210000</v>
      </c>
      <c r="F47" s="22">
        <f t="shared" si="4"/>
        <v>17735.864697243145</v>
      </c>
      <c r="G47" s="22">
        <f>+Table3[[#This Row],[Yearly Interest]]+G46</f>
        <v>81105.360372144729</v>
      </c>
      <c r="H47" s="22">
        <f t="shared" si="0"/>
        <v>291105.36037214473</v>
      </c>
      <c r="I47" s="2"/>
      <c r="J47" s="2"/>
      <c r="K47" s="2"/>
    </row>
    <row r="48" spans="2:20" x14ac:dyDescent="0.2">
      <c r="B48" s="23">
        <f t="shared" ref="B48:C48" si="10">+B47+1</f>
        <v>36</v>
      </c>
      <c r="C48" s="24">
        <f t="shared" si="10"/>
        <v>9</v>
      </c>
      <c r="D48" s="25">
        <f t="shared" si="2"/>
        <v>20000</v>
      </c>
      <c r="E48" s="25">
        <f>+Table3[[#This Row],[Yearly Deposit]]+E47</f>
        <v>230000</v>
      </c>
      <c r="F48" s="25">
        <f t="shared" si="4"/>
        <v>20377.37522605015</v>
      </c>
      <c r="G48" s="25">
        <f>+Table3[[#This Row],[Yearly Interest]]+G47</f>
        <v>101482.73559819488</v>
      </c>
      <c r="H48" s="25">
        <f t="shared" si="0"/>
        <v>331482.73559819488</v>
      </c>
      <c r="I48" s="2"/>
      <c r="J48" s="2"/>
      <c r="K48" s="2"/>
    </row>
    <row r="49" spans="2:11" x14ac:dyDescent="0.2">
      <c r="B49" s="26">
        <f t="shared" ref="B49:C49" si="11">+B48+1</f>
        <v>37</v>
      </c>
      <c r="C49" s="21">
        <f t="shared" si="11"/>
        <v>10</v>
      </c>
      <c r="D49" s="22">
        <f t="shared" si="2"/>
        <v>20000</v>
      </c>
      <c r="E49" s="25">
        <f>+Table3[[#This Row],[Yearly Deposit]]+E48</f>
        <v>250000</v>
      </c>
      <c r="F49" s="22">
        <f t="shared" si="4"/>
        <v>23203.791491873679</v>
      </c>
      <c r="G49" s="22">
        <f>+Table3[[#This Row],[Yearly Interest]]+G48</f>
        <v>124686.52709006856</v>
      </c>
      <c r="H49" s="22">
        <f t="shared" si="0"/>
        <v>374686.52709006856</v>
      </c>
      <c r="I49" s="2"/>
      <c r="J49" s="2"/>
      <c r="K49" s="2"/>
    </row>
    <row r="50" spans="2:11" x14ac:dyDescent="0.2">
      <c r="B50" s="23">
        <f t="shared" ref="B50:C50" si="12">+B49+1</f>
        <v>38</v>
      </c>
      <c r="C50" s="24">
        <f t="shared" si="12"/>
        <v>11</v>
      </c>
      <c r="D50" s="25">
        <f t="shared" si="2"/>
        <v>20000</v>
      </c>
      <c r="E50" s="25">
        <f>+Table3[[#This Row],[Yearly Deposit]]+E49</f>
        <v>270000</v>
      </c>
      <c r="F50" s="25">
        <f t="shared" si="4"/>
        <v>26228.056896304828</v>
      </c>
      <c r="G50" s="25">
        <f>+Table3[[#This Row],[Yearly Interest]]+G49</f>
        <v>150914.58398637339</v>
      </c>
      <c r="H50" s="25">
        <f t="shared" si="0"/>
        <v>420914.58398637339</v>
      </c>
      <c r="I50" s="2"/>
      <c r="J50" s="2"/>
      <c r="K50" s="2"/>
    </row>
    <row r="51" spans="2:11" x14ac:dyDescent="0.2">
      <c r="B51" s="26">
        <f t="shared" ref="B51:C51" si="13">+B50+1</f>
        <v>39</v>
      </c>
      <c r="C51" s="21">
        <f t="shared" si="13"/>
        <v>12</v>
      </c>
      <c r="D51" s="22">
        <f t="shared" si="2"/>
        <v>20000</v>
      </c>
      <c r="E51" s="25">
        <f>+Table3[[#This Row],[Yearly Deposit]]+E50</f>
        <v>290000</v>
      </c>
      <c r="F51" s="22">
        <f t="shared" si="4"/>
        <v>29464.020879046177</v>
      </c>
      <c r="G51" s="22">
        <f>+Table3[[#This Row],[Yearly Interest]]+G50</f>
        <v>180378.60486541956</v>
      </c>
      <c r="H51" s="22">
        <f t="shared" si="0"/>
        <v>470378.60486541956</v>
      </c>
      <c r="I51" s="2"/>
      <c r="J51" s="2"/>
      <c r="K51" s="2"/>
    </row>
    <row r="52" spans="2:11" x14ac:dyDescent="0.2">
      <c r="B52" s="23">
        <f t="shared" ref="B52:C52" si="14">+B51+1</f>
        <v>40</v>
      </c>
      <c r="C52" s="24">
        <f t="shared" si="14"/>
        <v>13</v>
      </c>
      <c r="D52" s="25">
        <f t="shared" si="2"/>
        <v>20000</v>
      </c>
      <c r="E52" s="25">
        <f>+Table3[[#This Row],[Yearly Deposit]]+E51</f>
        <v>310000</v>
      </c>
      <c r="F52" s="25">
        <f t="shared" si="4"/>
        <v>32926.502340579405</v>
      </c>
      <c r="G52" s="25">
        <f>+Table3[[#This Row],[Yearly Interest]]+G51</f>
        <v>213305.10720599897</v>
      </c>
      <c r="H52" s="25">
        <f t="shared" si="0"/>
        <v>523305.10720599897</v>
      </c>
      <c r="I52" s="2"/>
      <c r="J52" s="2"/>
      <c r="K52" s="2"/>
    </row>
    <row r="53" spans="2:11" x14ac:dyDescent="0.2">
      <c r="B53" s="26">
        <f t="shared" ref="B53:C53" si="15">+B52+1</f>
        <v>41</v>
      </c>
      <c r="C53" s="21">
        <f t="shared" si="15"/>
        <v>14</v>
      </c>
      <c r="D53" s="22">
        <f t="shared" si="2"/>
        <v>20000</v>
      </c>
      <c r="E53" s="25">
        <f>+Table3[[#This Row],[Yearly Deposit]]+E52</f>
        <v>330000</v>
      </c>
      <c r="F53" s="22">
        <f t="shared" si="4"/>
        <v>36631.357504419982</v>
      </c>
      <c r="G53" s="22">
        <f>+Table3[[#This Row],[Yearly Interest]]+G52</f>
        <v>249936.46471041895</v>
      </c>
      <c r="H53" s="22">
        <f t="shared" si="0"/>
        <v>579936.46471041895</v>
      </c>
      <c r="I53" s="2"/>
      <c r="J53" s="2"/>
      <c r="K53" s="2"/>
    </row>
    <row r="54" spans="2:11" x14ac:dyDescent="0.2">
      <c r="B54" s="23">
        <f t="shared" ref="B54:C54" si="16">+B53+1</f>
        <v>42</v>
      </c>
      <c r="C54" s="24">
        <f t="shared" si="16"/>
        <v>15</v>
      </c>
      <c r="D54" s="25">
        <f t="shared" si="2"/>
        <v>20000</v>
      </c>
      <c r="E54" s="25">
        <f>+Table3[[#This Row],[Yearly Deposit]]+E53</f>
        <v>350000</v>
      </c>
      <c r="F54" s="25">
        <f t="shared" si="4"/>
        <v>40595.552529729321</v>
      </c>
      <c r="G54" s="25">
        <f>+Table3[[#This Row],[Yearly Interest]]+G53</f>
        <v>290532.01724014827</v>
      </c>
      <c r="H54" s="25">
        <f t="shared" si="0"/>
        <v>640532.01724014827</v>
      </c>
      <c r="I54" s="2"/>
      <c r="J54" s="2"/>
      <c r="K54" s="2"/>
    </row>
    <row r="55" spans="2:11" x14ac:dyDescent="0.2">
      <c r="B55" s="26">
        <f t="shared" ref="B55:C55" si="17">+B54+1</f>
        <v>43</v>
      </c>
      <c r="C55" s="21">
        <f t="shared" si="17"/>
        <v>16</v>
      </c>
      <c r="D55" s="22">
        <f t="shared" si="2"/>
        <v>20000</v>
      </c>
      <c r="E55" s="25">
        <f>+Table3[[#This Row],[Yearly Deposit]]+E54</f>
        <v>370000</v>
      </c>
      <c r="F55" s="22">
        <f t="shared" si="4"/>
        <v>44837.24120681046</v>
      </c>
      <c r="G55" s="22">
        <f>+Table3[[#This Row],[Yearly Interest]]+G54</f>
        <v>335369.25844695873</v>
      </c>
      <c r="H55" s="22">
        <f t="shared" si="0"/>
        <v>705369.25844695873</v>
      </c>
      <c r="I55" s="2"/>
      <c r="J55" s="2"/>
      <c r="K55" s="2"/>
    </row>
    <row r="56" spans="2:11" x14ac:dyDescent="0.2">
      <c r="B56" s="23">
        <f t="shared" ref="B56:C56" si="18">+B55+1</f>
        <v>44</v>
      </c>
      <c r="C56" s="24">
        <f t="shared" si="18"/>
        <v>17</v>
      </c>
      <c r="D56" s="25">
        <f t="shared" si="2"/>
        <v>20000</v>
      </c>
      <c r="E56" s="25">
        <f>+Table3[[#This Row],[Yearly Deposit]]+E55</f>
        <v>390000</v>
      </c>
      <c r="F56" s="25">
        <f t="shared" si="4"/>
        <v>49375.848091287189</v>
      </c>
      <c r="G56" s="25">
        <f>+Table3[[#This Row],[Yearly Interest]]+G55</f>
        <v>384745.10653824592</v>
      </c>
      <c r="H56" s="25">
        <f t="shared" si="0"/>
        <v>774745.10653824592</v>
      </c>
      <c r="I56" s="2"/>
      <c r="J56" s="2"/>
      <c r="K56" s="2"/>
    </row>
    <row r="57" spans="2:11" x14ac:dyDescent="0.2">
      <c r="B57" s="26">
        <f t="shared" ref="B57:C57" si="19">+B56+1</f>
        <v>45</v>
      </c>
      <c r="C57" s="21">
        <f t="shared" si="19"/>
        <v>18</v>
      </c>
      <c r="D57" s="22">
        <f t="shared" si="2"/>
        <v>20000</v>
      </c>
      <c r="E57" s="25">
        <f>+Table3[[#This Row],[Yearly Deposit]]+E56</f>
        <v>410000</v>
      </c>
      <c r="F57" s="22">
        <f t="shared" si="4"/>
        <v>54232.157457677298</v>
      </c>
      <c r="G57" s="22">
        <f>+Table3[[#This Row],[Yearly Interest]]+G56</f>
        <v>438977.26399592322</v>
      </c>
      <c r="H57" s="22">
        <f t="shared" si="0"/>
        <v>848977.26399592322</v>
      </c>
      <c r="I57" s="2"/>
      <c r="J57" s="2"/>
      <c r="K57" s="2"/>
    </row>
    <row r="58" spans="2:11" x14ac:dyDescent="0.2">
      <c r="B58" s="23">
        <f t="shared" ref="B58:C58" si="20">+B57+1</f>
        <v>46</v>
      </c>
      <c r="C58" s="24">
        <f t="shared" si="20"/>
        <v>19</v>
      </c>
      <c r="D58" s="25">
        <f t="shared" si="2"/>
        <v>20000</v>
      </c>
      <c r="E58" s="25">
        <f>+Table3[[#This Row],[Yearly Deposit]]+E57</f>
        <v>430000</v>
      </c>
      <c r="F58" s="25">
        <f t="shared" si="4"/>
        <v>59428.40847971465</v>
      </c>
      <c r="G58" s="25">
        <f>+Table3[[#This Row],[Yearly Interest]]+G57</f>
        <v>498405.67247563787</v>
      </c>
      <c r="H58" s="25">
        <f t="shared" si="0"/>
        <v>928405.67247563787</v>
      </c>
      <c r="I58" s="2"/>
      <c r="J58" s="2"/>
      <c r="K58" s="2"/>
    </row>
    <row r="59" spans="2:11" x14ac:dyDescent="0.2">
      <c r="B59" s="26">
        <f t="shared" ref="B59:C59" si="21">+B58+1</f>
        <v>47</v>
      </c>
      <c r="C59" s="21">
        <f t="shared" si="21"/>
        <v>20</v>
      </c>
      <c r="D59" s="22">
        <f t="shared" si="2"/>
        <v>20000</v>
      </c>
      <c r="E59" s="25">
        <f>+Table3[[#This Row],[Yearly Deposit]]+E58</f>
        <v>450000</v>
      </c>
      <c r="F59" s="22">
        <f t="shared" si="4"/>
        <v>64988.397073294735</v>
      </c>
      <c r="G59" s="22">
        <f>+Table3[[#This Row],[Yearly Interest]]+G58</f>
        <v>563394.0695489326</v>
      </c>
      <c r="H59" s="22">
        <f t="shared" si="0"/>
        <v>1013394.0695489326</v>
      </c>
      <c r="I59" s="2"/>
      <c r="J59" s="2"/>
      <c r="K59" s="2"/>
    </row>
    <row r="60" spans="2:11" hidden="1" x14ac:dyDescent="0.2">
      <c r="B60" s="23">
        <f t="shared" ref="B60:C60" si="22">+B59+1</f>
        <v>48</v>
      </c>
      <c r="C60" s="24">
        <f t="shared" si="22"/>
        <v>21</v>
      </c>
      <c r="D60" s="25">
        <f t="shared" si="2"/>
        <v>20000</v>
      </c>
      <c r="E60" s="25">
        <f>+Table3[[#This Row],[Yearly Deposit]]+E59</f>
        <v>470000</v>
      </c>
      <c r="F60" s="25">
        <f t="shared" si="4"/>
        <v>70937.584868425271</v>
      </c>
      <c r="G60" s="25">
        <f>+Table3[[#This Row],[Yearly Interest]]+G59</f>
        <v>634331.65441735787</v>
      </c>
      <c r="H60" s="25">
        <f t="shared" si="0"/>
        <v>1104331.6544173579</v>
      </c>
      <c r="I60" s="2"/>
      <c r="J60" s="2"/>
      <c r="K60" s="2"/>
    </row>
    <row r="61" spans="2:11" hidden="1" x14ac:dyDescent="0.2">
      <c r="B61" s="26">
        <f t="shared" ref="B61:C61" si="23">+B60+1</f>
        <v>49</v>
      </c>
      <c r="C61" s="21">
        <f t="shared" si="23"/>
        <v>22</v>
      </c>
      <c r="D61" s="22">
        <f t="shared" si="2"/>
        <v>20000</v>
      </c>
      <c r="E61" s="25">
        <f>+Table3[[#This Row],[Yearly Deposit]]+E60</f>
        <v>490000</v>
      </c>
      <c r="F61" s="22">
        <f t="shared" si="4"/>
        <v>77303.215809215093</v>
      </c>
      <c r="G61" s="22">
        <f>+Table3[[#This Row],[Yearly Interest]]+G60</f>
        <v>711634.87022657297</v>
      </c>
      <c r="H61" s="22">
        <f t="shared" si="0"/>
        <v>1201634.870226573</v>
      </c>
      <c r="I61" s="2"/>
      <c r="J61" s="2"/>
      <c r="K61" s="2"/>
    </row>
    <row r="62" spans="2:11" hidden="1" x14ac:dyDescent="0.2">
      <c r="B62" s="23">
        <f t="shared" ref="B62:C62" si="24">+B61+1</f>
        <v>50</v>
      </c>
      <c r="C62" s="24">
        <f t="shared" si="24"/>
        <v>23</v>
      </c>
      <c r="D62" s="25">
        <f t="shared" si="2"/>
        <v>20000</v>
      </c>
      <c r="E62" s="25">
        <f>+Table3[[#This Row],[Yearly Deposit]]+E61</f>
        <v>510000</v>
      </c>
      <c r="F62" s="25">
        <f t="shared" si="4"/>
        <v>84114.440915860236</v>
      </c>
      <c r="G62" s="25">
        <f>+Table3[[#This Row],[Yearly Interest]]+G61</f>
        <v>795749.3111424332</v>
      </c>
      <c r="H62" s="25">
        <f t="shared" si="0"/>
        <v>1305749.3111424332</v>
      </c>
      <c r="I62" s="2"/>
      <c r="J62" s="2"/>
      <c r="K62" s="2"/>
    </row>
    <row r="63" spans="2:11" hidden="1" x14ac:dyDescent="0.2">
      <c r="B63" s="26">
        <f t="shared" ref="B63:C63" si="25">+B62+1</f>
        <v>51</v>
      </c>
      <c r="C63" s="21">
        <f t="shared" si="25"/>
        <v>24</v>
      </c>
      <c r="D63" s="22">
        <f t="shared" si="2"/>
        <v>20000</v>
      </c>
      <c r="E63" s="25">
        <f>+Table3[[#This Row],[Yearly Deposit]]+E62</f>
        <v>530000</v>
      </c>
      <c r="F63" s="22">
        <f t="shared" si="4"/>
        <v>91402.451779970434</v>
      </c>
      <c r="G63" s="22">
        <f>+Table3[[#This Row],[Yearly Interest]]+G62</f>
        <v>887151.76292240364</v>
      </c>
      <c r="H63" s="22">
        <f t="shared" si="0"/>
        <v>1417151.7629224036</v>
      </c>
      <c r="I63" s="2"/>
      <c r="J63" s="2"/>
      <c r="K63" s="2"/>
    </row>
    <row r="64" spans="2:11" hidden="1" x14ac:dyDescent="0.2">
      <c r="B64" s="23">
        <f t="shared" ref="B64:C64" si="26">+B63+1</f>
        <v>52</v>
      </c>
      <c r="C64" s="24">
        <f t="shared" si="26"/>
        <v>25</v>
      </c>
      <c r="D64" s="25">
        <f t="shared" si="2"/>
        <v>20000</v>
      </c>
      <c r="E64" s="25">
        <f>+Table3[[#This Row],[Yearly Deposit]]+E63</f>
        <v>550000</v>
      </c>
      <c r="F64" s="25">
        <f t="shared" si="4"/>
        <v>99200.623404568294</v>
      </c>
      <c r="G64" s="25">
        <f>+Table3[[#This Row],[Yearly Interest]]+G63</f>
        <v>986352.38632697193</v>
      </c>
      <c r="H64" s="25">
        <f t="shared" si="0"/>
        <v>1536352.3863269719</v>
      </c>
      <c r="I64" s="2"/>
      <c r="J64" s="2"/>
      <c r="K64" s="2"/>
    </row>
    <row r="65" spans="2:11" hidden="1" x14ac:dyDescent="0.2">
      <c r="B65" s="26">
        <f t="shared" ref="B65:C65" si="27">+B64+1</f>
        <v>53</v>
      </c>
      <c r="C65" s="21">
        <f t="shared" si="27"/>
        <v>26</v>
      </c>
      <c r="D65" s="22">
        <f t="shared" si="2"/>
        <v>20000</v>
      </c>
      <c r="E65" s="25">
        <f>+Table3[[#This Row],[Yearly Deposit]]+E64</f>
        <v>570000</v>
      </c>
      <c r="F65" s="22">
        <f t="shared" si="4"/>
        <v>107544.66704288824</v>
      </c>
      <c r="G65" s="22">
        <f>+Table3[[#This Row],[Yearly Interest]]+G64</f>
        <v>1093897.0533698602</v>
      </c>
      <c r="H65" s="22">
        <f t="shared" si="0"/>
        <v>1663897.0533698602</v>
      </c>
      <c r="I65" s="2"/>
      <c r="J65" s="2"/>
      <c r="K65" s="2"/>
    </row>
    <row r="66" spans="2:11" hidden="1" x14ac:dyDescent="0.2">
      <c r="B66" s="23">
        <f t="shared" ref="B66:C66" si="28">+B65+1</f>
        <v>54</v>
      </c>
      <c r="C66" s="24">
        <f t="shared" si="28"/>
        <v>27</v>
      </c>
      <c r="D66" s="25">
        <f t="shared" si="2"/>
        <v>20000</v>
      </c>
      <c r="E66" s="25">
        <f>+Table3[[#This Row],[Yearly Deposit]]+E65</f>
        <v>590000</v>
      </c>
      <c r="F66" s="25">
        <f t="shared" si="4"/>
        <v>116472.79373589042</v>
      </c>
      <c r="G66" s="25">
        <f>+Table3[[#This Row],[Yearly Interest]]+G65</f>
        <v>1210369.8471057506</v>
      </c>
      <c r="H66" s="25">
        <f t="shared" si="0"/>
        <v>1800369.8471057506</v>
      </c>
      <c r="I66" s="2"/>
      <c r="J66" s="2"/>
      <c r="K66" s="2"/>
    </row>
    <row r="67" spans="2:11" hidden="1" x14ac:dyDescent="0.2">
      <c r="B67" s="26">
        <f t="shared" ref="B67:C67" si="29">+B66+1</f>
        <v>55</v>
      </c>
      <c r="C67" s="21">
        <f t="shared" si="29"/>
        <v>28</v>
      </c>
      <c r="D67" s="22">
        <f t="shared" si="2"/>
        <v>20000</v>
      </c>
      <c r="E67" s="25">
        <f>+Table3[[#This Row],[Yearly Deposit]]+E66</f>
        <v>610000</v>
      </c>
      <c r="F67" s="22">
        <f t="shared" si="4"/>
        <v>126025.8892974027</v>
      </c>
      <c r="G67" s="22">
        <f>+Table3[[#This Row],[Yearly Interest]]+G66</f>
        <v>1336395.7364031533</v>
      </c>
      <c r="H67" s="22">
        <f t="shared" si="0"/>
        <v>1946395.7364031533</v>
      </c>
      <c r="I67" s="2"/>
      <c r="J67" s="2"/>
      <c r="K67" s="2"/>
    </row>
    <row r="68" spans="2:11" hidden="1" x14ac:dyDescent="0.2">
      <c r="B68" s="23">
        <f t="shared" ref="B68:C68" si="30">+B67+1</f>
        <v>56</v>
      </c>
      <c r="C68" s="24">
        <f t="shared" si="30"/>
        <v>29</v>
      </c>
      <c r="D68" s="25">
        <f t="shared" si="2"/>
        <v>20000</v>
      </c>
      <c r="E68" s="25">
        <f>+Table3[[#This Row],[Yearly Deposit]]+E67</f>
        <v>630000</v>
      </c>
      <c r="F68" s="25">
        <f t="shared" si="4"/>
        <v>136247.70154822082</v>
      </c>
      <c r="G68" s="25">
        <f>+Table3[[#This Row],[Yearly Interest]]+G67</f>
        <v>1472643.4379513741</v>
      </c>
      <c r="H68" s="25">
        <f t="shared" si="0"/>
        <v>2102643.4379513739</v>
      </c>
      <c r="I68" s="2"/>
      <c r="J68" s="2"/>
      <c r="K68" s="2"/>
    </row>
    <row r="69" spans="2:11" hidden="1" x14ac:dyDescent="0.2">
      <c r="B69" s="26">
        <f t="shared" ref="B69:C69" si="31">+B68+1</f>
        <v>57</v>
      </c>
      <c r="C69" s="21">
        <f t="shared" si="31"/>
        <v>30</v>
      </c>
      <c r="D69" s="22">
        <f t="shared" si="2"/>
        <v>20000</v>
      </c>
      <c r="E69" s="25">
        <f>+Table3[[#This Row],[Yearly Deposit]]+E68</f>
        <v>650000</v>
      </c>
      <c r="F69" s="22">
        <f t="shared" si="4"/>
        <v>147185.04065659642</v>
      </c>
      <c r="G69" s="22">
        <f>+Table3[[#This Row],[Yearly Interest]]+G68</f>
        <v>1619828.4786079705</v>
      </c>
      <c r="H69" s="22">
        <f t="shared" si="0"/>
        <v>2269828.4786079703</v>
      </c>
      <c r="I69" s="2"/>
      <c r="J69" s="2"/>
      <c r="K69" s="2"/>
    </row>
    <row r="70" spans="2:11" hidden="1" x14ac:dyDescent="0.2">
      <c r="B70" s="23">
        <f t="shared" ref="B70:C70" si="32">+B69+1</f>
        <v>58</v>
      </c>
      <c r="C70" s="24">
        <f t="shared" si="32"/>
        <v>31</v>
      </c>
      <c r="D70" s="25">
        <f t="shared" si="2"/>
        <v>20000</v>
      </c>
      <c r="E70" s="25">
        <f>+Table3[[#This Row],[Yearly Deposit]]+E69</f>
        <v>670000</v>
      </c>
      <c r="F70" s="25">
        <f t="shared" si="4"/>
        <v>158887.99350255821</v>
      </c>
      <c r="G70" s="25">
        <f>+Table3[[#This Row],[Yearly Interest]]+G69</f>
        <v>1778716.4721105287</v>
      </c>
      <c r="H70" s="25">
        <f t="shared" si="0"/>
        <v>2448716.4721105285</v>
      </c>
      <c r="I70" s="2"/>
      <c r="J70" s="2"/>
      <c r="K70" s="2"/>
    </row>
    <row r="71" spans="2:11" hidden="1" x14ac:dyDescent="0.2">
      <c r="B71" s="26">
        <f t="shared" ref="B71:C71" si="33">+B70+1</f>
        <v>59</v>
      </c>
      <c r="C71" s="21">
        <f t="shared" si="33"/>
        <v>32</v>
      </c>
      <c r="D71" s="22">
        <f t="shared" si="2"/>
        <v>20000</v>
      </c>
      <c r="E71" s="25">
        <f>+Table3[[#This Row],[Yearly Deposit]]+E70</f>
        <v>690000</v>
      </c>
      <c r="F71" s="22">
        <f t="shared" si="4"/>
        <v>171410.1530477372</v>
      </c>
      <c r="G71" s="22">
        <f>+Table3[[#This Row],[Yearly Interest]]+G70</f>
        <v>1950126.6251582659</v>
      </c>
      <c r="H71" s="22">
        <f t="shared" si="0"/>
        <v>2640126.6251582657</v>
      </c>
      <c r="I71" s="2"/>
      <c r="J71" s="2"/>
      <c r="K71" s="2"/>
    </row>
    <row r="72" spans="2:11" hidden="1" x14ac:dyDescent="0.2">
      <c r="B72" s="23">
        <f t="shared" ref="B72:C72" si="34">+B71+1</f>
        <v>60</v>
      </c>
      <c r="C72" s="24">
        <f t="shared" si="34"/>
        <v>33</v>
      </c>
      <c r="D72" s="25">
        <f t="shared" si="2"/>
        <v>20000</v>
      </c>
      <c r="E72" s="25">
        <f>+Table3[[#This Row],[Yearly Deposit]]+E71</f>
        <v>710000</v>
      </c>
      <c r="F72" s="25">
        <f t="shared" si="4"/>
        <v>184808.86376107857</v>
      </c>
      <c r="G72" s="25">
        <f>+Table3[[#This Row],[Yearly Interest]]+G71</f>
        <v>2134935.4889193447</v>
      </c>
      <c r="H72" s="25">
        <f t="shared" ref="H72:H103" si="35">+F72+D72+H71</f>
        <v>2844935.4889193443</v>
      </c>
      <c r="I72" s="2"/>
      <c r="J72" s="2"/>
      <c r="K72" s="2"/>
    </row>
    <row r="73" spans="2:11" hidden="1" x14ac:dyDescent="0.2">
      <c r="B73" s="26">
        <f t="shared" ref="B73:C73" si="36">+B72+1</f>
        <v>61</v>
      </c>
      <c r="C73" s="21">
        <f t="shared" si="36"/>
        <v>34</v>
      </c>
      <c r="D73" s="22">
        <f t="shared" si="2"/>
        <v>20000</v>
      </c>
      <c r="E73" s="25">
        <f>+Table3[[#This Row],[Yearly Deposit]]+E72</f>
        <v>730000</v>
      </c>
      <c r="F73" s="22">
        <f t="shared" si="4"/>
        <v>199145.48422435438</v>
      </c>
      <c r="G73" s="22">
        <f>+Table3[[#This Row],[Yearly Interest]]+G72</f>
        <v>2334080.9731436991</v>
      </c>
      <c r="H73" s="22">
        <f t="shared" si="35"/>
        <v>3064080.9731436986</v>
      </c>
      <c r="I73" s="2"/>
      <c r="J73" s="2"/>
      <c r="K73" s="2"/>
    </row>
    <row r="74" spans="2:11" hidden="1" x14ac:dyDescent="0.2">
      <c r="B74" s="23">
        <f t="shared" ref="B74:C74" si="37">+B73+1</f>
        <v>62</v>
      </c>
      <c r="C74" s="24">
        <f t="shared" si="37"/>
        <v>35</v>
      </c>
      <c r="D74" s="25">
        <f t="shared" si="2"/>
        <v>20000</v>
      </c>
      <c r="E74" s="25">
        <f>+Table3[[#This Row],[Yearly Deposit]]+E73</f>
        <v>750000</v>
      </c>
      <c r="F74" s="25">
        <f t="shared" si="4"/>
        <v>214485.66812005918</v>
      </c>
      <c r="G74" s="25">
        <f>+Table3[[#This Row],[Yearly Interest]]+G73</f>
        <v>2548566.6412637583</v>
      </c>
      <c r="H74" s="25">
        <f t="shared" si="35"/>
        <v>3298566.6412637578</v>
      </c>
      <c r="I74" s="2"/>
      <c r="J74" s="2"/>
      <c r="K74" s="2"/>
    </row>
    <row r="75" spans="2:11" hidden="1" x14ac:dyDescent="0.2">
      <c r="B75" s="26">
        <f t="shared" ref="B75:C75" si="38">+B74+1</f>
        <v>63</v>
      </c>
      <c r="C75" s="21">
        <f t="shared" si="38"/>
        <v>36</v>
      </c>
      <c r="D75" s="22">
        <f t="shared" si="2"/>
        <v>20000</v>
      </c>
      <c r="E75" s="25">
        <f>+Table3[[#This Row],[Yearly Deposit]]+E74</f>
        <v>770000</v>
      </c>
      <c r="F75" s="22">
        <f t="shared" si="4"/>
        <v>230899.66488846345</v>
      </c>
      <c r="G75" s="22">
        <f>+Table3[[#This Row],[Yearly Interest]]+G74</f>
        <v>2779466.3061522217</v>
      </c>
      <c r="H75" s="22">
        <f t="shared" si="35"/>
        <v>3549466.3061522213</v>
      </c>
      <c r="I75" s="2"/>
      <c r="J75" s="2"/>
      <c r="K75" s="2"/>
    </row>
    <row r="76" spans="2:11" hidden="1" x14ac:dyDescent="0.2">
      <c r="B76" s="23">
        <f t="shared" ref="B76:C76" si="39">+B75+1</f>
        <v>64</v>
      </c>
      <c r="C76" s="24">
        <f t="shared" si="39"/>
        <v>37</v>
      </c>
      <c r="D76" s="25">
        <f t="shared" si="2"/>
        <v>20000</v>
      </c>
      <c r="E76" s="25">
        <f>+Table3[[#This Row],[Yearly Deposit]]+E75</f>
        <v>790000</v>
      </c>
      <c r="F76" s="25">
        <f t="shared" si="4"/>
        <v>248462.64143065549</v>
      </c>
      <c r="G76" s="25">
        <f>+Table3[[#This Row],[Yearly Interest]]+G75</f>
        <v>3027928.9475828772</v>
      </c>
      <c r="H76" s="25">
        <f t="shared" si="35"/>
        <v>3817928.9475828768</v>
      </c>
      <c r="I76" s="2"/>
      <c r="J76" s="2"/>
      <c r="K76" s="2"/>
    </row>
    <row r="77" spans="2:11" hidden="1" x14ac:dyDescent="0.2">
      <c r="B77" s="26">
        <f t="shared" ref="B77:C77" si="40">+B76+1</f>
        <v>65</v>
      </c>
      <c r="C77" s="21">
        <f t="shared" si="40"/>
        <v>38</v>
      </c>
      <c r="D77" s="22">
        <f t="shared" si="2"/>
        <v>20000</v>
      </c>
      <c r="E77" s="25">
        <f>+Table3[[#This Row],[Yearly Deposit]]+E76</f>
        <v>810000</v>
      </c>
      <c r="F77" s="22">
        <f t="shared" si="4"/>
        <v>267255.02633080166</v>
      </c>
      <c r="G77" s="22">
        <f>+Table3[[#This Row],[Yearly Interest]]+G76</f>
        <v>3295183.9739136789</v>
      </c>
      <c r="H77" s="22">
        <f t="shared" si="35"/>
        <v>4105183.9739136784</v>
      </c>
      <c r="I77" s="2"/>
      <c r="J77" s="2"/>
      <c r="K77" s="2"/>
    </row>
    <row r="78" spans="2:11" hidden="1" x14ac:dyDescent="0.2">
      <c r="B78" s="23">
        <f t="shared" ref="B78:C78" si="41">+B77+1</f>
        <v>66</v>
      </c>
      <c r="C78" s="24">
        <f t="shared" si="41"/>
        <v>39</v>
      </c>
      <c r="D78" s="25">
        <f t="shared" si="2"/>
        <v>20000</v>
      </c>
      <c r="E78" s="25">
        <f>+Table3[[#This Row],[Yearly Deposit]]+E77</f>
        <v>830000</v>
      </c>
      <c r="F78" s="25">
        <f t="shared" si="4"/>
        <v>287362.87817395804</v>
      </c>
      <c r="G78" s="25">
        <f>+Table3[[#This Row],[Yearly Interest]]+G77</f>
        <v>3582546.8520876369</v>
      </c>
      <c r="H78" s="25">
        <f t="shared" si="35"/>
        <v>4412546.8520876365</v>
      </c>
      <c r="I78" s="2"/>
      <c r="J78" s="2"/>
      <c r="K78" s="2"/>
    </row>
    <row r="79" spans="2:11" hidden="1" x14ac:dyDescent="0.2">
      <c r="B79" s="26">
        <f t="shared" ref="B79:C79" si="42">+B78+1</f>
        <v>67</v>
      </c>
      <c r="C79" s="21">
        <f t="shared" si="42"/>
        <v>40</v>
      </c>
      <c r="D79" s="22">
        <f t="shared" si="2"/>
        <v>20000</v>
      </c>
      <c r="E79" s="25">
        <f>+Table3[[#This Row],[Yearly Deposit]]+E78</f>
        <v>850000</v>
      </c>
      <c r="F79" s="22">
        <f t="shared" si="4"/>
        <v>308878.27964613494</v>
      </c>
      <c r="G79" s="22">
        <f>+Table3[[#This Row],[Yearly Interest]]+G78</f>
        <v>3891425.1317337719</v>
      </c>
      <c r="H79" s="22">
        <f t="shared" si="35"/>
        <v>4741425.1317337714</v>
      </c>
      <c r="I79" s="2"/>
      <c r="J79" s="2"/>
      <c r="K79" s="2"/>
    </row>
    <row r="80" spans="2:11" hidden="1" x14ac:dyDescent="0.2">
      <c r="B80" s="23">
        <f t="shared" ref="B80:C80" si="43">+B79+1</f>
        <v>68</v>
      </c>
      <c r="C80" s="24">
        <f t="shared" si="43"/>
        <v>41</v>
      </c>
      <c r="D80" s="25">
        <f t="shared" si="2"/>
        <v>20000</v>
      </c>
      <c r="E80" s="25">
        <f>+Table3[[#This Row],[Yearly Deposit]]+E79</f>
        <v>870000</v>
      </c>
      <c r="F80" s="25">
        <f t="shared" si="4"/>
        <v>331899.75922136474</v>
      </c>
      <c r="G80" s="25">
        <f>+Table3[[#This Row],[Yearly Interest]]+G79</f>
        <v>4223324.8909551371</v>
      </c>
      <c r="H80" s="25">
        <f t="shared" si="35"/>
        <v>5093324.8909551362</v>
      </c>
      <c r="I80" s="2"/>
      <c r="J80" s="2"/>
      <c r="K80" s="2"/>
    </row>
    <row r="81" spans="2:11" hidden="1" x14ac:dyDescent="0.2">
      <c r="B81" s="26">
        <f t="shared" ref="B81:C81" si="44">+B80+1</f>
        <v>69</v>
      </c>
      <c r="C81" s="21">
        <f t="shared" si="44"/>
        <v>42</v>
      </c>
      <c r="D81" s="22">
        <f t="shared" si="2"/>
        <v>20000</v>
      </c>
      <c r="E81" s="25">
        <f>+Table3[[#This Row],[Yearly Deposit]]+E80</f>
        <v>890000</v>
      </c>
      <c r="F81" s="22">
        <f t="shared" si="4"/>
        <v>356532.74236685969</v>
      </c>
      <c r="G81" s="22">
        <f>+Table3[[#This Row],[Yearly Interest]]+G80</f>
        <v>4579857.6333219968</v>
      </c>
      <c r="H81" s="22">
        <f t="shared" si="35"/>
        <v>5469857.6333219958</v>
      </c>
      <c r="I81" s="2"/>
      <c r="J81" s="2"/>
      <c r="K81" s="2"/>
    </row>
    <row r="82" spans="2:11" hidden="1" x14ac:dyDescent="0.2">
      <c r="B82" s="23">
        <f t="shared" ref="B82:C82" si="45">+B81+1</f>
        <v>70</v>
      </c>
      <c r="C82" s="24">
        <f t="shared" si="45"/>
        <v>43</v>
      </c>
      <c r="D82" s="25">
        <f t="shared" si="2"/>
        <v>20000</v>
      </c>
      <c r="E82" s="25">
        <f>+Table3[[#This Row],[Yearly Deposit]]+E81</f>
        <v>910000</v>
      </c>
      <c r="F82" s="25">
        <f t="shared" si="4"/>
        <v>382890.03433253989</v>
      </c>
      <c r="G82" s="25">
        <f>+Table3[[#This Row],[Yearly Interest]]+G81</f>
        <v>4962747.6676545367</v>
      </c>
      <c r="H82" s="25">
        <f t="shared" si="35"/>
        <v>5872747.6676545357</v>
      </c>
      <c r="I82" s="2"/>
      <c r="J82" s="2"/>
      <c r="K82" s="2"/>
    </row>
    <row r="83" spans="2:11" hidden="1" x14ac:dyDescent="0.2">
      <c r="B83" s="26">
        <f t="shared" ref="B83:C83" si="46">+B82+1</f>
        <v>71</v>
      </c>
      <c r="C83" s="21">
        <f t="shared" si="46"/>
        <v>44</v>
      </c>
      <c r="D83" s="22">
        <f t="shared" si="2"/>
        <v>20000</v>
      </c>
      <c r="E83" s="25">
        <f>+Table3[[#This Row],[Yearly Deposit]]+E82</f>
        <v>930000</v>
      </c>
      <c r="F83" s="22">
        <f t="shared" si="4"/>
        <v>411092.3367358176</v>
      </c>
      <c r="G83" s="22">
        <f>+Table3[[#This Row],[Yearly Interest]]+G82</f>
        <v>5373840.0043903543</v>
      </c>
      <c r="H83" s="22">
        <f t="shared" si="35"/>
        <v>6303840.0043903533</v>
      </c>
      <c r="I83" s="2"/>
      <c r="J83" s="2"/>
      <c r="K83" s="2"/>
    </row>
    <row r="84" spans="2:11" hidden="1" x14ac:dyDescent="0.2">
      <c r="B84" s="23">
        <f t="shared" ref="B84:C84" si="47">+B83+1</f>
        <v>72</v>
      </c>
      <c r="C84" s="24">
        <f t="shared" si="47"/>
        <v>45</v>
      </c>
      <c r="D84" s="25">
        <f t="shared" si="2"/>
        <v>20000</v>
      </c>
      <c r="E84" s="25">
        <f>+Table3[[#This Row],[Yearly Deposit]]+E83</f>
        <v>950000</v>
      </c>
      <c r="F84" s="25">
        <f t="shared" si="4"/>
        <v>441268.80030732509</v>
      </c>
      <c r="G84" s="25">
        <f>+Table3[[#This Row],[Yearly Interest]]+G83</f>
        <v>5815108.8046976794</v>
      </c>
      <c r="H84" s="25">
        <f t="shared" si="35"/>
        <v>6765108.8046976784</v>
      </c>
      <c r="J84" s="2"/>
    </row>
    <row r="85" spans="2:11" hidden="1" x14ac:dyDescent="0.2">
      <c r="B85" s="26">
        <f t="shared" ref="B85:C85" si="48">+B84+1</f>
        <v>73</v>
      </c>
      <c r="C85" s="21">
        <f t="shared" si="48"/>
        <v>46</v>
      </c>
      <c r="D85" s="22">
        <f t="shared" si="2"/>
        <v>20000</v>
      </c>
      <c r="E85" s="25">
        <f>+Table3[[#This Row],[Yearly Deposit]]+E84</f>
        <v>970000</v>
      </c>
      <c r="F85" s="22">
        <f t="shared" si="4"/>
        <v>473557.61632883828</v>
      </c>
      <c r="G85" s="22">
        <f>+Table3[[#This Row],[Yearly Interest]]+G84</f>
        <v>6288666.4210265176</v>
      </c>
      <c r="H85" s="22">
        <f t="shared" si="35"/>
        <v>7258666.4210265167</v>
      </c>
      <c r="J85" s="2"/>
    </row>
    <row r="86" spans="2:11" hidden="1" x14ac:dyDescent="0.2">
      <c r="B86" s="23">
        <f t="shared" ref="B86:C86" si="49">+B85+1</f>
        <v>74</v>
      </c>
      <c r="C86" s="24">
        <f t="shared" si="49"/>
        <v>47</v>
      </c>
      <c r="D86" s="25">
        <f t="shared" si="2"/>
        <v>20000</v>
      </c>
      <c r="E86" s="25">
        <f>+Table3[[#This Row],[Yearly Deposit]]+E85</f>
        <v>990000</v>
      </c>
      <c r="F86" s="25">
        <f t="shared" si="4"/>
        <v>508106.64947185665</v>
      </c>
      <c r="G86" s="25">
        <f>+Table3[[#This Row],[Yearly Interest]]+G85</f>
        <v>6796773.0704983743</v>
      </c>
      <c r="H86" s="25">
        <f t="shared" si="35"/>
        <v>7786773.0704983734</v>
      </c>
      <c r="J86" s="2"/>
    </row>
    <row r="87" spans="2:11" hidden="1" x14ac:dyDescent="0.2">
      <c r="B87" s="26">
        <f t="shared" ref="B87:C87" si="50">+B86+1</f>
        <v>75</v>
      </c>
      <c r="C87" s="21">
        <f t="shared" si="50"/>
        <v>48</v>
      </c>
      <c r="D87" s="22">
        <f t="shared" si="2"/>
        <v>20000</v>
      </c>
      <c r="E87" s="25">
        <f>+Table3[[#This Row],[Yearly Deposit]]+E86</f>
        <v>1010000</v>
      </c>
      <c r="F87" s="22">
        <f t="shared" si="4"/>
        <v>545074.11493488681</v>
      </c>
      <c r="G87" s="22">
        <f>+Table3[[#This Row],[Yearly Interest]]+G86</f>
        <v>7341847.1854332611</v>
      </c>
      <c r="H87" s="22">
        <f t="shared" si="35"/>
        <v>8351847.1854332602</v>
      </c>
      <c r="J87" s="2"/>
    </row>
    <row r="88" spans="2:11" hidden="1" x14ac:dyDescent="0.2">
      <c r="B88" s="23">
        <f t="shared" ref="B88:C88" si="51">+B87+1</f>
        <v>76</v>
      </c>
      <c r="C88" s="24">
        <f t="shared" si="51"/>
        <v>49</v>
      </c>
      <c r="D88" s="25">
        <f t="shared" si="2"/>
        <v>20000</v>
      </c>
      <c r="E88" s="25">
        <f>+Table3[[#This Row],[Yearly Deposit]]+E87</f>
        <v>1030000</v>
      </c>
      <c r="F88" s="25">
        <f t="shared" si="4"/>
        <v>584629.30298032891</v>
      </c>
      <c r="G88" s="25">
        <f>+Table3[[#This Row],[Yearly Interest]]+G87</f>
        <v>7926476.48841359</v>
      </c>
      <c r="H88" s="25">
        <f t="shared" si="35"/>
        <v>8956476.4884135891</v>
      </c>
      <c r="J88" s="2"/>
    </row>
    <row r="89" spans="2:11" hidden="1" x14ac:dyDescent="0.2">
      <c r="B89" s="26">
        <f t="shared" ref="B89:C89" si="52">+B88+1</f>
        <v>77</v>
      </c>
      <c r="C89" s="21">
        <f t="shared" si="52"/>
        <v>50</v>
      </c>
      <c r="D89" s="22">
        <f t="shared" si="2"/>
        <v>20000</v>
      </c>
      <c r="E89" s="25">
        <f>+Table3[[#This Row],[Yearly Deposit]]+E88</f>
        <v>1050000</v>
      </c>
      <c r="F89" s="22">
        <f t="shared" si="4"/>
        <v>626953.35418895259</v>
      </c>
      <c r="G89" s="22">
        <f>+Table3[[#This Row],[Yearly Interest]]+G88</f>
        <v>8553429.8426025435</v>
      </c>
      <c r="H89" s="22">
        <f t="shared" si="35"/>
        <v>9603429.8426025417</v>
      </c>
      <c r="J89" s="2"/>
    </row>
    <row r="90" spans="2:11" hidden="1" x14ac:dyDescent="0.2">
      <c r="B90" s="23">
        <f t="shared" ref="B90:C90" si="53">+B89+1</f>
        <v>78</v>
      </c>
      <c r="C90" s="24">
        <f t="shared" si="53"/>
        <v>51</v>
      </c>
      <c r="D90" s="25">
        <f t="shared" si="2"/>
        <v>20000</v>
      </c>
      <c r="E90" s="25">
        <f>+Table3[[#This Row],[Yearly Deposit]]+E89</f>
        <v>1070000</v>
      </c>
      <c r="F90" s="25">
        <f t="shared" si="4"/>
        <v>672240.0889821779</v>
      </c>
      <c r="G90" s="25">
        <f>+Table3[[#This Row],[Yearly Interest]]+G89</f>
        <v>9225669.9315847214</v>
      </c>
      <c r="H90" s="25">
        <f t="shared" si="35"/>
        <v>10295669.93158472</v>
      </c>
      <c r="J90" s="2"/>
    </row>
    <row r="91" spans="2:11" hidden="1" x14ac:dyDescent="0.2">
      <c r="B91" s="23">
        <f t="shared" ref="B91:C91" si="54">+B90+1</f>
        <v>79</v>
      </c>
      <c r="C91" s="24">
        <f t="shared" si="54"/>
        <v>52</v>
      </c>
      <c r="D91" s="25">
        <f t="shared" si="2"/>
        <v>20000</v>
      </c>
      <c r="E91" s="25">
        <f>+Table3[[#This Row],[Yearly Deposit]]+E90</f>
        <v>1090000</v>
      </c>
      <c r="F91" s="25">
        <f t="shared" si="4"/>
        <v>720696.89521093108</v>
      </c>
      <c r="G91" s="25">
        <f>+Table3[[#This Row],[Yearly Interest]]+G90</f>
        <v>9946366.8267956525</v>
      </c>
      <c r="H91" s="25">
        <f t="shared" si="35"/>
        <v>11036366.826795651</v>
      </c>
      <c r="J91" s="2"/>
    </row>
    <row r="92" spans="2:11" hidden="1" x14ac:dyDescent="0.2">
      <c r="B92" s="23">
        <f t="shared" ref="B92:C92" si="55">+B91+1</f>
        <v>80</v>
      </c>
      <c r="C92" s="24">
        <f t="shared" si="55"/>
        <v>53</v>
      </c>
      <c r="D92" s="25">
        <f t="shared" si="2"/>
        <v>20000</v>
      </c>
      <c r="E92" s="25">
        <f>+Table3[[#This Row],[Yearly Deposit]]+E91</f>
        <v>1110000</v>
      </c>
      <c r="F92" s="25">
        <f t="shared" si="4"/>
        <v>772545.67787569575</v>
      </c>
      <c r="G92" s="25">
        <f>+Table3[[#This Row],[Yearly Interest]]+G91</f>
        <v>10718912.504671348</v>
      </c>
      <c r="H92" s="25">
        <f t="shared" si="35"/>
        <v>11828912.504671346</v>
      </c>
      <c r="J92" s="2"/>
    </row>
    <row r="93" spans="2:11" hidden="1" x14ac:dyDescent="0.2">
      <c r="B93" s="23">
        <f t="shared" ref="B93:C93" si="56">+B92+1</f>
        <v>81</v>
      </c>
      <c r="C93" s="24">
        <f t="shared" si="56"/>
        <v>54</v>
      </c>
      <c r="D93" s="25">
        <f t="shared" si="2"/>
        <v>20000</v>
      </c>
      <c r="E93" s="25">
        <f>+Table3[[#This Row],[Yearly Deposit]]+E92</f>
        <v>1130000</v>
      </c>
      <c r="F93" s="25">
        <f t="shared" si="4"/>
        <v>828023.87532699481</v>
      </c>
      <c r="G93" s="25">
        <f>+Table3[[#This Row],[Yearly Interest]]+G92</f>
        <v>11546936.379998343</v>
      </c>
      <c r="H93" s="25">
        <f t="shared" si="35"/>
        <v>12676936.379998341</v>
      </c>
      <c r="J93" s="2"/>
    </row>
    <row r="94" spans="2:11" hidden="1" x14ac:dyDescent="0.2">
      <c r="B94" s="23">
        <f t="shared" ref="B94:C94" si="57">+B93+1</f>
        <v>82</v>
      </c>
      <c r="C94" s="24">
        <f t="shared" si="57"/>
        <v>55</v>
      </c>
      <c r="D94" s="25">
        <f t="shared" si="2"/>
        <v>20000</v>
      </c>
      <c r="E94" s="25">
        <f>+Table3[[#This Row],[Yearly Deposit]]+E93</f>
        <v>1150000</v>
      </c>
      <c r="F94" s="25">
        <f t="shared" si="4"/>
        <v>887385.54659988545</v>
      </c>
      <c r="G94" s="25">
        <f>+Table3[[#This Row],[Yearly Interest]]+G93</f>
        <v>12434321.926598229</v>
      </c>
      <c r="H94" s="25">
        <f t="shared" si="35"/>
        <v>13584321.926598227</v>
      </c>
      <c r="J94" s="2"/>
    </row>
    <row r="95" spans="2:11" hidden="1" x14ac:dyDescent="0.2">
      <c r="B95" s="23">
        <f t="shared" ref="B95:C95" si="58">+B94+1</f>
        <v>83</v>
      </c>
      <c r="C95" s="24">
        <f t="shared" si="58"/>
        <v>56</v>
      </c>
      <c r="D95" s="25">
        <f t="shared" si="2"/>
        <v>20000</v>
      </c>
      <c r="E95" s="25">
        <f>+Table3[[#This Row],[Yearly Deposit]]+E94</f>
        <v>1170000</v>
      </c>
      <c r="F95" s="25">
        <f t="shared" si="4"/>
        <v>950902.53486187756</v>
      </c>
      <c r="G95" s="25">
        <f>+Table3[[#This Row],[Yearly Interest]]+G94</f>
        <v>13385224.461460106</v>
      </c>
      <c r="H95" s="25">
        <f t="shared" si="35"/>
        <v>14555224.461460104</v>
      </c>
      <c r="J95" s="2"/>
    </row>
    <row r="96" spans="2:11" hidden="1" x14ac:dyDescent="0.2">
      <c r="B96" s="23">
        <f t="shared" ref="B96:C96" si="59">+B95+1</f>
        <v>84</v>
      </c>
      <c r="C96" s="24">
        <f t="shared" si="59"/>
        <v>57</v>
      </c>
      <c r="D96" s="25">
        <f t="shared" si="2"/>
        <v>20000</v>
      </c>
      <c r="E96" s="25">
        <f>+Table3[[#This Row],[Yearly Deposit]]+E95</f>
        <v>1190000</v>
      </c>
      <c r="F96" s="25">
        <f t="shared" si="4"/>
        <v>1018865.7123022079</v>
      </c>
      <c r="G96" s="25">
        <f>+Table3[[#This Row],[Yearly Interest]]+G95</f>
        <v>14404090.173762314</v>
      </c>
      <c r="H96" s="25">
        <f t="shared" si="35"/>
        <v>15594090.173762312</v>
      </c>
      <c r="J96" s="2"/>
    </row>
    <row r="97" spans="2:10" hidden="1" x14ac:dyDescent="0.2">
      <c r="B97" s="23">
        <f t="shared" ref="B97:C97" si="60">+B96+1</f>
        <v>85</v>
      </c>
      <c r="C97" s="24">
        <f t="shared" si="60"/>
        <v>58</v>
      </c>
      <c r="D97" s="25">
        <f t="shared" si="2"/>
        <v>20000</v>
      </c>
      <c r="E97" s="25">
        <f>+Table3[[#This Row],[Yearly Deposit]]+E96</f>
        <v>1210000</v>
      </c>
      <c r="F97" s="25">
        <f t="shared" si="4"/>
        <v>1091586.3121633623</v>
      </c>
      <c r="G97" s="25">
        <f>+Table3[[#This Row],[Yearly Interest]]+G96</f>
        <v>15495676.485925676</v>
      </c>
      <c r="H97" s="25">
        <f t="shared" si="35"/>
        <v>16705676.485925674</v>
      </c>
      <c r="J97" s="2"/>
    </row>
    <row r="98" spans="2:10" hidden="1" x14ac:dyDescent="0.2">
      <c r="B98" s="23">
        <f t="shared" ref="B98:C98" si="61">+B97+1</f>
        <v>86</v>
      </c>
      <c r="C98" s="24">
        <f t="shared" si="61"/>
        <v>59</v>
      </c>
      <c r="D98" s="25">
        <f t="shared" si="2"/>
        <v>20000</v>
      </c>
      <c r="E98" s="25">
        <f>+Table3[[#This Row],[Yearly Deposit]]+E97</f>
        <v>1230000</v>
      </c>
      <c r="F98" s="25">
        <f t="shared" si="4"/>
        <v>1169397.354014799</v>
      </c>
      <c r="G98" s="25">
        <f>+Table3[[#This Row],[Yearly Interest]]+G97</f>
        <v>16665073.839940475</v>
      </c>
      <c r="H98" s="25">
        <f t="shared" si="35"/>
        <v>17895073.839940473</v>
      </c>
      <c r="J98" s="2"/>
    </row>
    <row r="99" spans="2:10" hidden="1" x14ac:dyDescent="0.2">
      <c r="B99" s="23">
        <f t="shared" ref="B99:C99" si="62">+B98+1</f>
        <v>87</v>
      </c>
      <c r="C99" s="24">
        <f t="shared" si="62"/>
        <v>60</v>
      </c>
      <c r="D99" s="25">
        <f t="shared" si="2"/>
        <v>20000</v>
      </c>
      <c r="E99" s="25">
        <f>+Table3[[#This Row],[Yearly Deposit]]+E98</f>
        <v>1250000</v>
      </c>
      <c r="F99" s="25">
        <f t="shared" si="4"/>
        <v>1252655.1687958352</v>
      </c>
      <c r="G99" s="25">
        <f>+Table3[[#This Row],[Yearly Interest]]+G98</f>
        <v>17917729.008736312</v>
      </c>
      <c r="H99" s="25">
        <f t="shared" si="35"/>
        <v>19167729.008736309</v>
      </c>
      <c r="J99" s="2"/>
    </row>
    <row r="100" spans="2:10" hidden="1" x14ac:dyDescent="0.2">
      <c r="B100" s="23">
        <f t="shared" ref="B100:C100" si="63">+B99+1</f>
        <v>88</v>
      </c>
      <c r="C100" s="24">
        <f t="shared" si="63"/>
        <v>61</v>
      </c>
      <c r="D100" s="25">
        <f t="shared" si="2"/>
        <v>20000</v>
      </c>
      <c r="E100" s="25">
        <f>+Table3[[#This Row],[Yearly Deposit]]+E99</f>
        <v>1270000</v>
      </c>
      <c r="F100" s="25">
        <f t="shared" si="4"/>
        <v>1341741.0306115411</v>
      </c>
      <c r="G100" s="25">
        <f>+Table3[[#This Row],[Yearly Interest]]+G99</f>
        <v>19259470.039347854</v>
      </c>
      <c r="H100" s="25">
        <f t="shared" si="35"/>
        <v>20529470.03934785</v>
      </c>
      <c r="J100" s="2"/>
    </row>
    <row r="101" spans="2:10" hidden="1" x14ac:dyDescent="0.2">
      <c r="B101" s="23">
        <f t="shared" ref="B101:C101" si="64">+B100+1</f>
        <v>89</v>
      </c>
      <c r="C101" s="24">
        <f t="shared" si="64"/>
        <v>62</v>
      </c>
      <c r="D101" s="25">
        <f t="shared" si="2"/>
        <v>20000</v>
      </c>
      <c r="E101" s="25">
        <f>+Table3[[#This Row],[Yearly Deposit]]+E100</f>
        <v>1290000</v>
      </c>
      <c r="F101" s="25">
        <f t="shared" si="4"/>
        <v>1437062.9027543515</v>
      </c>
      <c r="G101" s="25">
        <f>+Table3[[#This Row],[Yearly Interest]]+G100</f>
        <v>20696532.942102205</v>
      </c>
      <c r="H101" s="25">
        <f t="shared" si="35"/>
        <v>21986532.942102201</v>
      </c>
      <c r="J101" s="2"/>
    </row>
    <row r="102" spans="2:10" hidden="1" x14ac:dyDescent="0.2">
      <c r="B102" s="23">
        <f t="shared" ref="B102:C102" si="65">+B101+1</f>
        <v>90</v>
      </c>
      <c r="C102" s="24">
        <f t="shared" si="65"/>
        <v>63</v>
      </c>
      <c r="D102" s="25">
        <f t="shared" si="2"/>
        <v>20000</v>
      </c>
      <c r="E102" s="25">
        <f>+Table3[[#This Row],[Yearly Deposit]]+E101</f>
        <v>1310000</v>
      </c>
      <c r="F102" s="25">
        <f t="shared" si="4"/>
        <v>1539057.3059471548</v>
      </c>
      <c r="G102" s="25">
        <f>+Table3[[#This Row],[Yearly Interest]]+G101</f>
        <v>22235590.24804936</v>
      </c>
      <c r="H102" s="25">
        <f t="shared" si="35"/>
        <v>23545590.248049356</v>
      </c>
      <c r="J102" s="2"/>
    </row>
    <row r="103" spans="2:10" hidden="1" x14ac:dyDescent="0.2">
      <c r="B103" s="23">
        <f t="shared" ref="B103:C103" si="66">+B102+1</f>
        <v>91</v>
      </c>
      <c r="C103" s="24">
        <f t="shared" si="66"/>
        <v>64</v>
      </c>
      <c r="D103" s="25">
        <f t="shared" si="2"/>
        <v>20000</v>
      </c>
      <c r="E103" s="25">
        <f>+Table3[[#This Row],[Yearly Deposit]]+E102</f>
        <v>1330000</v>
      </c>
      <c r="F103" s="25">
        <f t="shared" si="4"/>
        <v>1648191.3173634559</v>
      </c>
      <c r="G103" s="25">
        <f>+Table3[[#This Row],[Yearly Interest]]+G102</f>
        <v>23883781.565412816</v>
      </c>
      <c r="H103" s="25">
        <f t="shared" si="35"/>
        <v>25213781.565412812</v>
      </c>
      <c r="J103" s="2"/>
    </row>
    <row r="104" spans="2:10" hidden="1" x14ac:dyDescent="0.2">
      <c r="B104" s="23">
        <f t="shared" ref="B104:C104" si="67">+B103+1</f>
        <v>92</v>
      </c>
      <c r="C104" s="24">
        <f t="shared" si="67"/>
        <v>65</v>
      </c>
      <c r="D104" s="25">
        <f t="shared" si="2"/>
        <v>20000</v>
      </c>
      <c r="E104" s="25">
        <f>+Table3[[#This Row],[Yearly Deposit]]+E103</f>
        <v>1350000</v>
      </c>
      <c r="F104" s="25">
        <f t="shared" si="4"/>
        <v>1764964.7095788978</v>
      </c>
      <c r="G104" s="25">
        <f>+Table3[[#This Row],[Yearly Interest]]+G103</f>
        <v>25648746.274991713</v>
      </c>
      <c r="H104" s="25">
        <f t="shared" ref="H104:H113" si="68">+F104+D104+H103</f>
        <v>26998746.27499171</v>
      </c>
      <c r="J104" s="2"/>
    </row>
    <row r="105" spans="2:10" hidden="1" x14ac:dyDescent="0.2">
      <c r="B105" s="23">
        <f t="shared" ref="B105:C105" si="69">+B104+1</f>
        <v>93</v>
      </c>
      <c r="C105" s="24">
        <f t="shared" si="69"/>
        <v>66</v>
      </c>
      <c r="D105" s="25">
        <f t="shared" ref="D105:D113" si="70">+$C$5</f>
        <v>20000</v>
      </c>
      <c r="E105" s="25">
        <f>+Table3[[#This Row],[Yearly Deposit]]+E104</f>
        <v>1370000</v>
      </c>
      <c r="F105" s="25">
        <f t="shared" si="4"/>
        <v>1889912.2392494231</v>
      </c>
      <c r="G105" s="25">
        <f>+Table3[[#This Row],[Yearly Interest]]+G104</f>
        <v>27538658.514241137</v>
      </c>
      <c r="H105" s="25">
        <f t="shared" si="68"/>
        <v>28908658.514241133</v>
      </c>
      <c r="J105" s="2"/>
    </row>
    <row r="106" spans="2:10" hidden="1" x14ac:dyDescent="0.2">
      <c r="B106" s="23">
        <f t="shared" ref="B106:C106" si="71">+B105+1</f>
        <v>94</v>
      </c>
      <c r="C106" s="24">
        <f t="shared" si="71"/>
        <v>67</v>
      </c>
      <c r="D106" s="25">
        <f t="shared" si="70"/>
        <v>20000</v>
      </c>
      <c r="E106" s="25">
        <f>+Table3[[#This Row],[Yearly Deposit]]+E105</f>
        <v>1390000</v>
      </c>
      <c r="F106" s="25">
        <f t="shared" ref="F106:F113" si="72">+H105*(1+$C$8)-H105</f>
        <v>2023606.0959968828</v>
      </c>
      <c r="G106" s="25">
        <f>+Table3[[#This Row],[Yearly Interest]]+G105</f>
        <v>29562264.610238019</v>
      </c>
      <c r="H106" s="25">
        <f t="shared" si="68"/>
        <v>30952264.610238016</v>
      </c>
      <c r="J106" s="2"/>
    </row>
    <row r="107" spans="2:10" hidden="1" x14ac:dyDescent="0.2">
      <c r="B107" s="23">
        <f t="shared" ref="B107:C107" si="73">+B106+1</f>
        <v>95</v>
      </c>
      <c r="C107" s="24">
        <f t="shared" si="73"/>
        <v>68</v>
      </c>
      <c r="D107" s="25">
        <f t="shared" si="70"/>
        <v>20000</v>
      </c>
      <c r="E107" s="25">
        <f>+Table3[[#This Row],[Yearly Deposit]]+E106</f>
        <v>1410000</v>
      </c>
      <c r="F107" s="25">
        <f t="shared" si="72"/>
        <v>2166658.5227166638</v>
      </c>
      <c r="G107" s="25">
        <f>+Table3[[#This Row],[Yearly Interest]]+G106</f>
        <v>31728923.132954683</v>
      </c>
      <c r="H107" s="25">
        <f t="shared" si="68"/>
        <v>33138923.132954679</v>
      </c>
      <c r="J107" s="2"/>
    </row>
    <row r="108" spans="2:10" hidden="1" x14ac:dyDescent="0.2">
      <c r="B108" s="23">
        <f t="shared" ref="B108:C108" si="74">+B107+1</f>
        <v>96</v>
      </c>
      <c r="C108" s="24">
        <f t="shared" si="74"/>
        <v>69</v>
      </c>
      <c r="D108" s="25">
        <f t="shared" si="70"/>
        <v>20000</v>
      </c>
      <c r="E108" s="25">
        <f>+Table3[[#This Row],[Yearly Deposit]]+E107</f>
        <v>1430000</v>
      </c>
      <c r="F108" s="25">
        <f t="shared" si="72"/>
        <v>2319724.6193068326</v>
      </c>
      <c r="G108" s="25">
        <f>+Table3[[#This Row],[Yearly Interest]]+G107</f>
        <v>34048647.752261519</v>
      </c>
      <c r="H108" s="25">
        <f t="shared" si="68"/>
        <v>35478647.752261512</v>
      </c>
      <c r="J108" s="2"/>
    </row>
    <row r="109" spans="2:10" hidden="1" x14ac:dyDescent="0.2">
      <c r="B109" s="23">
        <f t="shared" ref="B109:C109" si="75">+B108+1</f>
        <v>97</v>
      </c>
      <c r="C109" s="24">
        <f t="shared" si="75"/>
        <v>70</v>
      </c>
      <c r="D109" s="25">
        <f t="shared" si="70"/>
        <v>20000</v>
      </c>
      <c r="E109" s="25">
        <f>+Table3[[#This Row],[Yearly Deposit]]+E108</f>
        <v>1450000</v>
      </c>
      <c r="F109" s="25">
        <f t="shared" si="72"/>
        <v>2483505.3426583111</v>
      </c>
      <c r="G109" s="25">
        <f>+Table3[[#This Row],[Yearly Interest]]+G108</f>
        <v>36532153.094919831</v>
      </c>
      <c r="H109" s="25">
        <f t="shared" si="68"/>
        <v>37982153.094919823</v>
      </c>
      <c r="J109" s="2"/>
    </row>
    <row r="110" spans="2:10" hidden="1" x14ac:dyDescent="0.2">
      <c r="B110" s="23">
        <f t="shared" ref="B110:C110" si="76">+B109+1</f>
        <v>98</v>
      </c>
      <c r="C110" s="24">
        <f t="shared" si="76"/>
        <v>71</v>
      </c>
      <c r="D110" s="25">
        <f t="shared" si="70"/>
        <v>20000</v>
      </c>
      <c r="E110" s="25">
        <f>+Table3[[#This Row],[Yearly Deposit]]+E109</f>
        <v>1470000</v>
      </c>
      <c r="F110" s="25">
        <f t="shared" si="72"/>
        <v>2658750.7166443914</v>
      </c>
      <c r="G110" s="25">
        <f>+Table3[[#This Row],[Yearly Interest]]+G109</f>
        <v>39190903.811564222</v>
      </c>
      <c r="H110" s="25">
        <f t="shared" si="68"/>
        <v>40660903.811564215</v>
      </c>
      <c r="J110" s="2"/>
    </row>
    <row r="111" spans="2:10" hidden="1" x14ac:dyDescent="0.2">
      <c r="B111" s="23">
        <f t="shared" ref="B111:C111" si="77">+B110+1</f>
        <v>99</v>
      </c>
      <c r="C111" s="24">
        <f t="shared" si="77"/>
        <v>72</v>
      </c>
      <c r="D111" s="25">
        <f t="shared" si="70"/>
        <v>20000</v>
      </c>
      <c r="E111" s="25">
        <f>+Table3[[#This Row],[Yearly Deposit]]+E110</f>
        <v>1490000</v>
      </c>
      <c r="F111" s="25">
        <f t="shared" si="72"/>
        <v>2846263.2668095008</v>
      </c>
      <c r="G111" s="25">
        <f>+Table3[[#This Row],[Yearly Interest]]+G110</f>
        <v>42037167.078373723</v>
      </c>
      <c r="H111" s="25">
        <f t="shared" si="68"/>
        <v>43527167.078373715</v>
      </c>
      <c r="J111" s="2"/>
    </row>
    <row r="112" spans="2:10" hidden="1" x14ac:dyDescent="0.2">
      <c r="B112" s="23">
        <f t="shared" ref="B112:C112" si="78">+B111+1</f>
        <v>100</v>
      </c>
      <c r="C112" s="24">
        <f t="shared" si="78"/>
        <v>73</v>
      </c>
      <c r="D112" s="25">
        <f t="shared" si="70"/>
        <v>20000</v>
      </c>
      <c r="E112" s="25">
        <f>+Table3[[#This Row],[Yearly Deposit]]+E111</f>
        <v>1510000</v>
      </c>
      <c r="F112" s="25">
        <f t="shared" si="72"/>
        <v>3046901.6954861656</v>
      </c>
      <c r="G112" s="25">
        <f>+Table3[[#This Row],[Yearly Interest]]+G111</f>
        <v>45084068.773859888</v>
      </c>
      <c r="H112" s="25">
        <f t="shared" si="68"/>
        <v>46594068.773859881</v>
      </c>
      <c r="J112" s="2"/>
    </row>
    <row r="113" spans="2:10" hidden="1" x14ac:dyDescent="0.2">
      <c r="B113" s="23">
        <f t="shared" ref="B113:C113" si="79">+B112+1</f>
        <v>101</v>
      </c>
      <c r="C113" s="24">
        <f t="shared" si="79"/>
        <v>74</v>
      </c>
      <c r="D113" s="25">
        <f t="shared" si="70"/>
        <v>20000</v>
      </c>
      <c r="E113" s="25">
        <f>+Table3[[#This Row],[Yearly Deposit]]+E112</f>
        <v>1530000</v>
      </c>
      <c r="F113" s="25">
        <f t="shared" si="72"/>
        <v>3261584.8141701967</v>
      </c>
      <c r="G113" s="25">
        <f>+Table3[[#This Row],[Yearly Interest]]+G112</f>
        <v>48345653.588030085</v>
      </c>
      <c r="H113" s="25">
        <f t="shared" si="68"/>
        <v>49875653.588030078</v>
      </c>
      <c r="J113" s="2"/>
    </row>
    <row r="114" spans="2:10" s="7" customFormat="1" x14ac:dyDescent="0.2">
      <c r="B114" s="32"/>
      <c r="C114" s="31"/>
      <c r="D114" s="31"/>
      <c r="E114" s="31"/>
      <c r="F114" s="31"/>
      <c r="G114" s="31"/>
      <c r="H114" s="31"/>
    </row>
    <row r="115" spans="2:10" x14ac:dyDescent="0.2">
      <c r="B115" s="19"/>
      <c r="C115" s="33" t="s">
        <v>8</v>
      </c>
      <c r="D115" s="34">
        <f>+VLOOKUP(C7,C38:D114,2,FALSE)</f>
        <v>20000</v>
      </c>
      <c r="E115" s="35">
        <f>VLOOKUP(C7,C39:F114,3,FALSE)</f>
        <v>450000</v>
      </c>
      <c r="F115" s="35">
        <f>VLOOKUP(C7,C39:F114,4,FALSE)</f>
        <v>64988.397073294735</v>
      </c>
      <c r="G115" s="35">
        <f>VLOOKUP(C7,C39:G114,5,FALSE)</f>
        <v>563394.0695489326</v>
      </c>
      <c r="H115" s="34">
        <f>+VLOOKUP(C7,C38:H114,6,FALSE)</f>
        <v>1013394.0695489326</v>
      </c>
    </row>
    <row r="116" spans="2:10" s="7" customFormat="1" x14ac:dyDescent="0.2">
      <c r="B116" s="32"/>
      <c r="C116" s="36"/>
      <c r="D116" s="37"/>
      <c r="E116" s="38"/>
      <c r="F116" s="38"/>
      <c r="G116" s="38"/>
      <c r="H116" s="37"/>
    </row>
  </sheetData>
  <sheetProtection algorithmName="SHA-512" hashValue="rueBIuDRT75cTR+RaN/3bxPIzc54wsJIM2WNMYKleU+YGsEaBgY5KPs4Hy/wfeXz0maDlxb5Vu3FIJMTYvmF4w==" saltValue="0bb5q0pTGgOzKKIdlGWLVg==" spinCount="100000" sheet="1" objects="1" scenarios="1" formatRows="0"/>
  <dataConsolidate/>
  <mergeCells count="1">
    <mergeCell ref="B11:H13"/>
  </mergeCells>
  <conditionalFormatting sqref="B11">
    <cfRule type="cellIs" dxfId="9" priority="1" operator="between">
      <formula>0</formula>
      <formula>100000</formula>
    </cfRule>
  </conditionalFormatting>
  <dataValidations xWindow="586" yWindow="355" count="3">
    <dataValidation type="decimal" allowBlank="1" showInputMessage="1" showErrorMessage="1" errorTitle="Percent" error="Please enter a number between 1 and 99_x000a_" promptTitle="Percentage" prompt="Please enter a number between 1% and 99%" sqref="C8" xr:uid="{44ADB2DB-0823-4C22-ADF2-5DC634A91289}">
      <formula1>0.01</formula1>
      <formula2>0.99</formula2>
    </dataValidation>
    <dataValidation type="whole" allowBlank="1" showInputMessage="1" showErrorMessage="1" errorTitle="Forecast" error="Please enter a number between 1 and 73_x000a_" promptTitle="Forecast" prompt="Please enter a number between 1 and 73" sqref="C7" xr:uid="{CC02D8DF-767D-46C9-95E1-AE4278B71683}">
      <formula1>1</formula1>
      <formula2>73</formula2>
    </dataValidation>
    <dataValidation type="whole" allowBlank="1" showInputMessage="1" showErrorMessage="1" errorTitle="Age" error="Please enter a number between 1 and 100. " promptTitle="Age" prompt="Please enter a number between 1 and 100.  This is used to calculate totals by age." sqref="C6" xr:uid="{F9A517FF-DBA1-4D72-8B88-D1D6AEA8B0C4}">
      <formula1>1</formula1>
      <formula2>100</formula2>
    </dataValidation>
  </dataValidations>
  <hyperlinks>
    <hyperlink ref="H8" r:id="rId1" xr:uid="{9E1B39A6-E1A8-46B2-BC8A-F2ECEF64D653}"/>
  </hyperlinks>
  <pageMargins left="0.7" right="0.7" top="0.75" bottom="0.75" header="0.3" footer="0.3"/>
  <pageSetup scale="64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DEFAB-B597-4D0A-A63B-C7785B2C3036}">
  <sheetPr codeName="Sheet4"/>
  <dimension ref="A1:B4"/>
  <sheetViews>
    <sheetView workbookViewId="0">
      <selection activeCell="A3" sqref="A3"/>
    </sheetView>
  </sheetViews>
  <sheetFormatPr baseColWidth="10" defaultColWidth="8.83203125" defaultRowHeight="15" x14ac:dyDescent="0.2"/>
  <cols>
    <col min="1" max="1" width="16.83203125" bestFit="1" customWidth="1"/>
    <col min="2" max="2" width="25.83203125" bestFit="1" customWidth="1"/>
  </cols>
  <sheetData>
    <row r="1" spans="1:2" x14ac:dyDescent="0.2">
      <c r="A1" s="10" t="s">
        <v>9</v>
      </c>
      <c r="B1" s="8">
        <f>39+Calculator!C7</f>
        <v>59</v>
      </c>
    </row>
    <row r="2" spans="1:2" x14ac:dyDescent="0.2">
      <c r="A2" s="10" t="s">
        <v>10</v>
      </c>
      <c r="B2" s="8">
        <f>B1+1</f>
        <v>60</v>
      </c>
    </row>
    <row r="3" spans="1:2" x14ac:dyDescent="0.2">
      <c r="A3" s="15" t="s">
        <v>11</v>
      </c>
      <c r="B3" t="str">
        <f>"Total Balance After " &amp;Calculator!C7&amp;" Years"</f>
        <v>Total Balance After 20 Years</v>
      </c>
    </row>
    <row r="4" spans="1:2" x14ac:dyDescent="0.2">
      <c r="A4" s="2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C10A74E47D764480043E3E4F1D7449" ma:contentTypeVersion="8" ma:contentTypeDescription="Create a new document." ma:contentTypeScope="" ma:versionID="3ad700b15870fd2989a34984b92599e2">
  <xsd:schema xmlns:xsd="http://www.w3.org/2001/XMLSchema" xmlns:xs="http://www.w3.org/2001/XMLSchema" xmlns:p="http://schemas.microsoft.com/office/2006/metadata/properties" xmlns:ns3="d2d5cf56-d43f-4073-bb86-cb152c4dd206" targetNamespace="http://schemas.microsoft.com/office/2006/metadata/properties" ma:root="true" ma:fieldsID="8a7e14add0cf8df0611b596bb31354f6" ns3:_="">
    <xsd:import namespace="d2d5cf56-d43f-4073-bb86-cb152c4dd2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d5cf56-d43f-4073-bb86-cb152c4dd2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96E759-1206-44B1-9EE5-5D55D66BCD9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7F1DE2A-2CEE-4617-B284-E6200F549D7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961DE0-2A85-469B-BF28-752686F54BD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d5cf56-d43f-4073-bb86-cb152c4dd2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Calculator</vt:lpstr>
      <vt:lpstr>References</vt:lpstr>
      <vt:lpstr>Calculator!Print_Area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Briskey, Matthew</dc:creator>
  <cp:lastModifiedBy>Matt Briskey</cp:lastModifiedBy>
  <cp:lastPrinted>2020-07-19T18:26:38Z</cp:lastPrinted>
  <dcterms:created xsi:type="dcterms:W3CDTF">2020-06-30T18:22:14Z</dcterms:created>
  <dcterms:modified xsi:type="dcterms:W3CDTF">2020-10-09T01:16:06Z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ontentTypeId">
    <vt:lpwstr>0x01010063C10A74E47D764480043E3E4F1D7449</vt:lpwstr>
  </property>
</Properties>
</file>