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My Drive\Excel\"/>
    </mc:Choice>
  </mc:AlternateContent>
  <xr:revisionPtr revIDLastSave="0" documentId="13_ncr:1_{770E43DE-58B2-43FA-86E7-E97271CB5C55}" xr6:coauthVersionLast="47" xr6:coauthVersionMax="47" xr10:uidLastSave="{00000000-0000-0000-0000-000000000000}"/>
  <bookViews>
    <workbookView xWindow="28680" yWindow="-120" windowWidth="29040" windowHeight="15720" activeTab="2" xr2:uid="{B218FD1D-6DB7-468F-BE7B-7A961CEAD9FB}"/>
  </bookViews>
  <sheets>
    <sheet name="Instructions" sheetId="2" r:id="rId1"/>
    <sheet name="Inputs" sheetId="1" r:id="rId2"/>
    <sheet name="Dashboard" sheetId="4" r:id="rId3"/>
    <sheet name="Amortization Table" sheetId="5" r:id="rId4"/>
    <sheet name="References" sheetId="3" state="veryHidden" r:id="rId5"/>
  </sheets>
  <definedNames>
    <definedName name="_xlnm.Print_Area" localSheetId="2">Dashboard!$B$1:$U$34</definedName>
    <definedName name="_xlnm.Print_Titles" localSheetId="3">'Amortization Table'!$1:$3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10" i="4" l="1"/>
  <c r="O13" i="4"/>
  <c r="A31" i="3" l="1"/>
  <c r="A30" i="3"/>
  <c r="C29" i="3"/>
  <c r="M4" i="5" l="1"/>
  <c r="M5" i="5"/>
  <c r="M6" i="5"/>
  <c r="M7" i="5"/>
  <c r="M8" i="5"/>
  <c r="M9" i="5"/>
  <c r="M10" i="5"/>
  <c r="M11" i="5"/>
  <c r="M12" i="5"/>
  <c r="M13" i="5"/>
  <c r="M14" i="5"/>
  <c r="M15" i="5"/>
  <c r="M16" i="5"/>
  <c r="M17" i="5"/>
  <c r="M18" i="5"/>
  <c r="M19" i="5"/>
  <c r="M20" i="5"/>
  <c r="M21" i="5"/>
  <c r="M22" i="5"/>
  <c r="M23" i="5"/>
  <c r="M24" i="5"/>
  <c r="M25" i="5"/>
  <c r="M26" i="5"/>
  <c r="M27" i="5"/>
  <c r="M28" i="5"/>
  <c r="M29" i="5"/>
  <c r="M30" i="5"/>
  <c r="M31" i="5"/>
  <c r="M32" i="5"/>
  <c r="M33" i="5"/>
  <c r="M34" i="5"/>
  <c r="M35" i="5"/>
  <c r="M36" i="5"/>
  <c r="M37" i="5"/>
  <c r="M38" i="5"/>
  <c r="M39" i="5"/>
  <c r="M40" i="5"/>
  <c r="M41" i="5"/>
  <c r="M42" i="5"/>
  <c r="M43" i="5"/>
  <c r="M44" i="5"/>
  <c r="M45" i="5"/>
  <c r="M46" i="5"/>
  <c r="M47" i="5"/>
  <c r="M48" i="5"/>
  <c r="M49" i="5"/>
  <c r="M50" i="5"/>
  <c r="M51" i="5"/>
  <c r="M52" i="5"/>
  <c r="M53" i="5"/>
  <c r="M54" i="5"/>
  <c r="M55" i="5"/>
  <c r="M56" i="5"/>
  <c r="M57" i="5"/>
  <c r="M58" i="5"/>
  <c r="M59" i="5"/>
  <c r="M60" i="5"/>
  <c r="M61" i="5"/>
  <c r="M62" i="5"/>
  <c r="M63" i="5"/>
  <c r="M64" i="5"/>
  <c r="M65" i="5"/>
  <c r="M66" i="5"/>
  <c r="M67" i="5"/>
  <c r="M68" i="5"/>
  <c r="M69" i="5"/>
  <c r="M70" i="5"/>
  <c r="M71" i="5"/>
  <c r="M72" i="5"/>
  <c r="M73" i="5"/>
  <c r="M74" i="5"/>
  <c r="M75" i="5"/>
  <c r="M76" i="5"/>
  <c r="M77" i="5"/>
  <c r="M78" i="5"/>
  <c r="M79" i="5"/>
  <c r="M80" i="5"/>
  <c r="M81" i="5"/>
  <c r="M82" i="5"/>
  <c r="M83" i="5"/>
  <c r="M84" i="5"/>
  <c r="M85" i="5"/>
  <c r="M86" i="5"/>
  <c r="M87" i="5"/>
  <c r="M88" i="5"/>
  <c r="M89" i="5"/>
  <c r="M90" i="5"/>
  <c r="M91" i="5"/>
  <c r="M92" i="5"/>
  <c r="M93" i="5"/>
  <c r="M94" i="5"/>
  <c r="M95" i="5"/>
  <c r="M96" i="5"/>
  <c r="M97" i="5"/>
  <c r="M98" i="5"/>
  <c r="M99" i="5"/>
  <c r="M100" i="5"/>
  <c r="M101" i="5"/>
  <c r="M102" i="5"/>
  <c r="M103" i="5"/>
  <c r="M104" i="5"/>
  <c r="M105" i="5"/>
  <c r="M106" i="5"/>
  <c r="M107" i="5"/>
  <c r="M108" i="5"/>
  <c r="M109" i="5"/>
  <c r="M110" i="5"/>
  <c r="M111" i="5"/>
  <c r="M112" i="5"/>
  <c r="M113" i="5"/>
  <c r="M114" i="5"/>
  <c r="M115" i="5"/>
  <c r="M116" i="5"/>
  <c r="M117" i="5"/>
  <c r="M118" i="5"/>
  <c r="M119" i="5"/>
  <c r="M120" i="5"/>
  <c r="M121" i="5"/>
  <c r="M122" i="5"/>
  <c r="M123" i="5"/>
  <c r="M124" i="5"/>
  <c r="M125" i="5"/>
  <c r="M126" i="5"/>
  <c r="M127" i="5"/>
  <c r="M128" i="5"/>
  <c r="M129" i="5"/>
  <c r="M130" i="5"/>
  <c r="M131" i="5"/>
  <c r="M132" i="5"/>
  <c r="M133" i="5"/>
  <c r="M134" i="5"/>
  <c r="M135" i="5"/>
  <c r="M136" i="5"/>
  <c r="M137" i="5"/>
  <c r="M138" i="5"/>
  <c r="M139" i="5"/>
  <c r="M140" i="5"/>
  <c r="M141" i="5"/>
  <c r="M142" i="5"/>
  <c r="M143" i="5"/>
  <c r="M144" i="5"/>
  <c r="M145" i="5"/>
  <c r="M146" i="5"/>
  <c r="M147" i="5"/>
  <c r="M148" i="5"/>
  <c r="M149" i="5"/>
  <c r="M150" i="5"/>
  <c r="M151" i="5"/>
  <c r="M152" i="5"/>
  <c r="M153" i="5"/>
  <c r="M154" i="5"/>
  <c r="M155" i="5"/>
  <c r="M156" i="5"/>
  <c r="M157" i="5"/>
  <c r="M158" i="5"/>
  <c r="M159" i="5"/>
  <c r="M160" i="5"/>
  <c r="M161" i="5"/>
  <c r="M162" i="5"/>
  <c r="M163" i="5"/>
  <c r="M164" i="5"/>
  <c r="M165" i="5"/>
  <c r="M166" i="5"/>
  <c r="M167" i="5"/>
  <c r="M168" i="5"/>
  <c r="M169" i="5"/>
  <c r="M170" i="5"/>
  <c r="M171" i="5"/>
  <c r="M172" i="5"/>
  <c r="M173" i="5"/>
  <c r="M174" i="5"/>
  <c r="M175" i="5"/>
  <c r="M176" i="5"/>
  <c r="M177" i="5"/>
  <c r="M178" i="5"/>
  <c r="M179" i="5"/>
  <c r="M180" i="5"/>
  <c r="M181" i="5"/>
  <c r="M182" i="5"/>
  <c r="M183" i="5"/>
  <c r="M184" i="5"/>
  <c r="M185" i="5"/>
  <c r="M186" i="5"/>
  <c r="M187" i="5"/>
  <c r="M188" i="5"/>
  <c r="M189" i="5"/>
  <c r="M190" i="5"/>
  <c r="M191" i="5"/>
  <c r="M192" i="5"/>
  <c r="M193" i="5"/>
  <c r="M194" i="5"/>
  <c r="M195" i="5"/>
  <c r="M196" i="5"/>
  <c r="M197" i="5"/>
  <c r="M198" i="5"/>
  <c r="M199" i="5"/>
  <c r="M200" i="5"/>
  <c r="M201" i="5"/>
  <c r="M202" i="5"/>
  <c r="M203" i="5"/>
  <c r="M204" i="5"/>
  <c r="M205" i="5"/>
  <c r="M206" i="5"/>
  <c r="M207" i="5"/>
  <c r="M208" i="5"/>
  <c r="M209" i="5"/>
  <c r="M210" i="5"/>
  <c r="M211" i="5"/>
  <c r="M212" i="5"/>
  <c r="M213" i="5"/>
  <c r="M214" i="5"/>
  <c r="M215" i="5"/>
  <c r="M216" i="5"/>
  <c r="M217" i="5"/>
  <c r="M218" i="5"/>
  <c r="M219" i="5"/>
  <c r="M220" i="5"/>
  <c r="M221" i="5"/>
  <c r="M222" i="5"/>
  <c r="M223" i="5"/>
  <c r="M224" i="5"/>
  <c r="M225" i="5"/>
  <c r="M226" i="5"/>
  <c r="M227" i="5"/>
  <c r="M228" i="5"/>
  <c r="M229" i="5"/>
  <c r="M230" i="5"/>
  <c r="M231" i="5"/>
  <c r="M232" i="5"/>
  <c r="M233" i="5"/>
  <c r="M234" i="5"/>
  <c r="M235" i="5"/>
  <c r="M236" i="5"/>
  <c r="M237" i="5"/>
  <c r="M238" i="5"/>
  <c r="M239" i="5"/>
  <c r="M240" i="5"/>
  <c r="M241" i="5"/>
  <c r="M242" i="5"/>
  <c r="M243" i="5"/>
  <c r="M244" i="5"/>
  <c r="M245" i="5"/>
  <c r="M246" i="5"/>
  <c r="M247" i="5"/>
  <c r="M248" i="5"/>
  <c r="M249" i="5"/>
  <c r="M250" i="5"/>
  <c r="M251" i="5"/>
  <c r="M252" i="5"/>
  <c r="M253" i="5"/>
  <c r="M254" i="5"/>
  <c r="M255" i="5"/>
  <c r="M256" i="5"/>
  <c r="M257" i="5"/>
  <c r="M258" i="5"/>
  <c r="M259" i="5"/>
  <c r="M260" i="5"/>
  <c r="M261" i="5"/>
  <c r="M262" i="5"/>
  <c r="M263" i="5"/>
  <c r="M264" i="5"/>
  <c r="M265" i="5"/>
  <c r="M266" i="5"/>
  <c r="M267" i="5"/>
  <c r="M268" i="5"/>
  <c r="M269" i="5"/>
  <c r="M270" i="5"/>
  <c r="M271" i="5"/>
  <c r="M272" i="5"/>
  <c r="M273" i="5"/>
  <c r="M274" i="5"/>
  <c r="M275" i="5"/>
  <c r="M276" i="5"/>
  <c r="M277" i="5"/>
  <c r="M278" i="5"/>
  <c r="M279" i="5"/>
  <c r="M280" i="5"/>
  <c r="M281" i="5"/>
  <c r="M282" i="5"/>
  <c r="M283" i="5"/>
  <c r="M284" i="5"/>
  <c r="M285" i="5"/>
  <c r="M286" i="5"/>
  <c r="M287" i="5"/>
  <c r="M288" i="5"/>
  <c r="M289" i="5"/>
  <c r="M290" i="5"/>
  <c r="M291" i="5"/>
  <c r="M292" i="5"/>
  <c r="M293" i="5"/>
  <c r="M294" i="5"/>
  <c r="M295" i="5"/>
  <c r="M296" i="5"/>
  <c r="M297" i="5"/>
  <c r="M298" i="5"/>
  <c r="M299" i="5"/>
  <c r="M300" i="5"/>
  <c r="M301" i="5"/>
  <c r="M302" i="5"/>
  <c r="M303" i="5"/>
  <c r="M304" i="5"/>
  <c r="M305" i="5"/>
  <c r="M306" i="5"/>
  <c r="M307" i="5"/>
  <c r="M308" i="5"/>
  <c r="M309" i="5"/>
  <c r="M310" i="5"/>
  <c r="M311" i="5"/>
  <c r="M312" i="5"/>
  <c r="M313" i="5"/>
  <c r="M314" i="5"/>
  <c r="M315" i="5"/>
  <c r="M316" i="5"/>
  <c r="M317" i="5"/>
  <c r="M318" i="5"/>
  <c r="M319" i="5"/>
  <c r="M320" i="5"/>
  <c r="M321" i="5"/>
  <c r="M322" i="5"/>
  <c r="M323" i="5"/>
  <c r="M324" i="5"/>
  <c r="M325" i="5"/>
  <c r="M326" i="5"/>
  <c r="M327" i="5"/>
  <c r="M328" i="5"/>
  <c r="M329" i="5"/>
  <c r="M330" i="5"/>
  <c r="M331" i="5"/>
  <c r="M332" i="5"/>
  <c r="M333" i="5"/>
  <c r="M334" i="5"/>
  <c r="M335" i="5"/>
  <c r="M336" i="5"/>
  <c r="M337" i="5"/>
  <c r="M338" i="5"/>
  <c r="M339" i="5"/>
  <c r="M340" i="5"/>
  <c r="M341" i="5"/>
  <c r="M342" i="5"/>
  <c r="M343" i="5"/>
  <c r="M344" i="5"/>
  <c r="M345" i="5"/>
  <c r="M346" i="5"/>
  <c r="M347" i="5"/>
  <c r="M348" i="5"/>
  <c r="M349" i="5"/>
  <c r="M350" i="5"/>
  <c r="M351" i="5"/>
  <c r="M352" i="5"/>
  <c r="M353" i="5"/>
  <c r="M354" i="5"/>
  <c r="M355" i="5"/>
  <c r="M356" i="5"/>
  <c r="M357" i="5"/>
  <c r="M358" i="5"/>
  <c r="M359" i="5"/>
  <c r="M360" i="5"/>
  <c r="M361" i="5"/>
  <c r="M362" i="5"/>
  <c r="M363" i="5"/>
  <c r="B4" i="3" l="1"/>
  <c r="B5" i="3"/>
  <c r="B2" i="3"/>
  <c r="C11" i="4" s="1"/>
  <c r="B3" i="3" l="1"/>
  <c r="C13" i="4" s="1"/>
  <c r="A5" i="5"/>
  <c r="A6" i="5" l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C4" i="5"/>
  <c r="B4" i="5"/>
  <c r="B5" i="5" s="1"/>
  <c r="B6" i="5" s="1"/>
  <c r="B7" i="5" s="1"/>
  <c r="B8" i="5" s="1"/>
  <c r="B9" i="5" s="1"/>
  <c r="B10" i="5" s="1"/>
  <c r="B11" i="5" s="1"/>
  <c r="B12" i="5" s="1"/>
  <c r="B13" i="5" s="1"/>
  <c r="B14" i="5" s="1"/>
  <c r="B15" i="5" s="1"/>
  <c r="B16" i="5" s="1"/>
  <c r="B17" i="5" s="1"/>
  <c r="B18" i="5" s="1"/>
  <c r="B19" i="5" s="1"/>
  <c r="B20" i="5" s="1"/>
  <c r="B21" i="5" s="1"/>
  <c r="B22" i="5" s="1"/>
  <c r="B23" i="5" s="1"/>
  <c r="B24" i="5" s="1"/>
  <c r="B25" i="5" s="1"/>
  <c r="B26" i="5" s="1"/>
  <c r="B27" i="5" s="1"/>
  <c r="B28" i="5" s="1"/>
  <c r="B29" i="5" s="1"/>
  <c r="B30" i="5" s="1"/>
  <c r="B31" i="5" s="1"/>
  <c r="B32" i="5" s="1"/>
  <c r="B33" i="5" s="1"/>
  <c r="B34" i="5" s="1"/>
  <c r="B35" i="5" s="1"/>
  <c r="B36" i="5" s="1"/>
  <c r="B37" i="5" s="1"/>
  <c r="B38" i="5" s="1"/>
  <c r="B39" i="5" s="1"/>
  <c r="B40" i="5" s="1"/>
  <c r="B41" i="5" s="1"/>
  <c r="B42" i="5" s="1"/>
  <c r="B43" i="5" s="1"/>
  <c r="B44" i="5" s="1"/>
  <c r="B45" i="5" s="1"/>
  <c r="B46" i="5" s="1"/>
  <c r="B47" i="5" s="1"/>
  <c r="B48" i="5" s="1"/>
  <c r="B49" i="5" s="1"/>
  <c r="B50" i="5" s="1"/>
  <c r="B51" i="5" s="1"/>
  <c r="B52" i="5" s="1"/>
  <c r="B53" i="5" s="1"/>
  <c r="B54" i="5" s="1"/>
  <c r="B55" i="5" s="1"/>
  <c r="B56" i="5" s="1"/>
  <c r="B57" i="5" s="1"/>
  <c r="B58" i="5" s="1"/>
  <c r="B59" i="5" s="1"/>
  <c r="B60" i="5" s="1"/>
  <c r="B61" i="5" s="1"/>
  <c r="B62" i="5" s="1"/>
  <c r="B63" i="5" s="1"/>
  <c r="B64" i="5" s="1"/>
  <c r="B65" i="5" s="1"/>
  <c r="B66" i="5" s="1"/>
  <c r="B67" i="5" s="1"/>
  <c r="B68" i="5" s="1"/>
  <c r="B69" i="5" s="1"/>
  <c r="B70" i="5" s="1"/>
  <c r="B71" i="5" s="1"/>
  <c r="B72" i="5" s="1"/>
  <c r="B73" i="5" s="1"/>
  <c r="B74" i="5" s="1"/>
  <c r="B75" i="5" s="1"/>
  <c r="B76" i="5" s="1"/>
  <c r="B77" i="5" s="1"/>
  <c r="B78" i="5" s="1"/>
  <c r="B79" i="5" s="1"/>
  <c r="B80" i="5" s="1"/>
  <c r="B81" i="5" s="1"/>
  <c r="B82" i="5" s="1"/>
  <c r="B83" i="5" s="1"/>
  <c r="B84" i="5" s="1"/>
  <c r="B85" i="5" s="1"/>
  <c r="B86" i="5" s="1"/>
  <c r="B87" i="5" s="1"/>
  <c r="B88" i="5" s="1"/>
  <c r="B89" i="5" s="1"/>
  <c r="B90" i="5" s="1"/>
  <c r="B91" i="5" s="1"/>
  <c r="B92" i="5" s="1"/>
  <c r="B93" i="5" s="1"/>
  <c r="B94" i="5" s="1"/>
  <c r="B95" i="5" s="1"/>
  <c r="B96" i="5" s="1"/>
  <c r="B97" i="5" s="1"/>
  <c r="B98" i="5" s="1"/>
  <c r="B99" i="5" s="1"/>
  <c r="B100" i="5" s="1"/>
  <c r="B101" i="5" s="1"/>
  <c r="B102" i="5" s="1"/>
  <c r="B103" i="5" s="1"/>
  <c r="B104" i="5" s="1"/>
  <c r="B105" i="5" s="1"/>
  <c r="B106" i="5" s="1"/>
  <c r="B107" i="5" s="1"/>
  <c r="B108" i="5" s="1"/>
  <c r="B109" i="5" s="1"/>
  <c r="B110" i="5" s="1"/>
  <c r="B111" i="5" s="1"/>
  <c r="B112" i="5" s="1"/>
  <c r="B113" i="5" s="1"/>
  <c r="B114" i="5" s="1"/>
  <c r="B115" i="5" s="1"/>
  <c r="B116" i="5" s="1"/>
  <c r="B117" i="5" s="1"/>
  <c r="B118" i="5" s="1"/>
  <c r="B119" i="5" s="1"/>
  <c r="B120" i="5" s="1"/>
  <c r="B121" i="5" s="1"/>
  <c r="B122" i="5" s="1"/>
  <c r="B123" i="5" s="1"/>
  <c r="B124" i="5" s="1"/>
  <c r="B125" i="5" s="1"/>
  <c r="B126" i="5" s="1"/>
  <c r="B127" i="5" s="1"/>
  <c r="B128" i="5" s="1"/>
  <c r="B129" i="5" s="1"/>
  <c r="B130" i="5" s="1"/>
  <c r="B131" i="5" s="1"/>
  <c r="B132" i="5" s="1"/>
  <c r="B133" i="5" s="1"/>
  <c r="B134" i="5" s="1"/>
  <c r="B135" i="5" s="1"/>
  <c r="B136" i="5" s="1"/>
  <c r="B137" i="5" s="1"/>
  <c r="B138" i="5" s="1"/>
  <c r="B139" i="5" s="1"/>
  <c r="B140" i="5" s="1"/>
  <c r="B141" i="5" s="1"/>
  <c r="B142" i="5" s="1"/>
  <c r="B143" i="5" s="1"/>
  <c r="B144" i="5" s="1"/>
  <c r="B145" i="5" s="1"/>
  <c r="B146" i="5" s="1"/>
  <c r="B147" i="5" s="1"/>
  <c r="B148" i="5" s="1"/>
  <c r="B149" i="5" s="1"/>
  <c r="B150" i="5" s="1"/>
  <c r="B151" i="5" s="1"/>
  <c r="B152" i="5" s="1"/>
  <c r="B153" i="5" s="1"/>
  <c r="B154" i="5" s="1"/>
  <c r="B155" i="5" s="1"/>
  <c r="B156" i="5" s="1"/>
  <c r="B157" i="5" s="1"/>
  <c r="B158" i="5" s="1"/>
  <c r="B159" i="5" s="1"/>
  <c r="B160" i="5" s="1"/>
  <c r="B161" i="5" s="1"/>
  <c r="B162" i="5" s="1"/>
  <c r="B163" i="5" s="1"/>
  <c r="B164" i="5" s="1"/>
  <c r="B165" i="5" s="1"/>
  <c r="B166" i="5" s="1"/>
  <c r="B167" i="5" s="1"/>
  <c r="B168" i="5" s="1"/>
  <c r="B169" i="5" s="1"/>
  <c r="B170" i="5" s="1"/>
  <c r="B171" i="5" s="1"/>
  <c r="B172" i="5" s="1"/>
  <c r="B173" i="5" s="1"/>
  <c r="B174" i="5" s="1"/>
  <c r="B175" i="5" s="1"/>
  <c r="B176" i="5" s="1"/>
  <c r="B177" i="5" s="1"/>
  <c r="B178" i="5" s="1"/>
  <c r="B179" i="5" s="1"/>
  <c r="B180" i="5" s="1"/>
  <c r="B181" i="5" s="1"/>
  <c r="B182" i="5" s="1"/>
  <c r="B183" i="5" s="1"/>
  <c r="B184" i="5" s="1"/>
  <c r="B185" i="5" s="1"/>
  <c r="B186" i="5" s="1"/>
  <c r="B187" i="5" s="1"/>
  <c r="B188" i="5" s="1"/>
  <c r="B189" i="5" s="1"/>
  <c r="B190" i="5" s="1"/>
  <c r="B191" i="5" s="1"/>
  <c r="B192" i="5" s="1"/>
  <c r="B193" i="5" s="1"/>
  <c r="B194" i="5" s="1"/>
  <c r="B195" i="5" s="1"/>
  <c r="B196" i="5" s="1"/>
  <c r="B197" i="5" s="1"/>
  <c r="B198" i="5" s="1"/>
  <c r="B199" i="5" s="1"/>
  <c r="B200" i="5" s="1"/>
  <c r="B201" i="5" s="1"/>
  <c r="B202" i="5" s="1"/>
  <c r="B203" i="5" s="1"/>
  <c r="B204" i="5" s="1"/>
  <c r="B205" i="5" s="1"/>
  <c r="B206" i="5" s="1"/>
  <c r="B207" i="5" s="1"/>
  <c r="B208" i="5" s="1"/>
  <c r="B209" i="5" s="1"/>
  <c r="B210" i="5" s="1"/>
  <c r="B211" i="5" s="1"/>
  <c r="B212" i="5" s="1"/>
  <c r="B213" i="5" s="1"/>
  <c r="B214" i="5" s="1"/>
  <c r="B215" i="5" s="1"/>
  <c r="B216" i="5" s="1"/>
  <c r="B217" i="5" s="1"/>
  <c r="B218" i="5" s="1"/>
  <c r="B219" i="5" s="1"/>
  <c r="B220" i="5" s="1"/>
  <c r="B221" i="5" s="1"/>
  <c r="B222" i="5" s="1"/>
  <c r="B223" i="5" s="1"/>
  <c r="B224" i="5" s="1"/>
  <c r="B225" i="5" s="1"/>
  <c r="B226" i="5" s="1"/>
  <c r="B227" i="5" s="1"/>
  <c r="B228" i="5" s="1"/>
  <c r="B229" i="5" s="1"/>
  <c r="B230" i="5" s="1"/>
  <c r="B231" i="5" s="1"/>
  <c r="B232" i="5" s="1"/>
  <c r="B233" i="5" s="1"/>
  <c r="B234" i="5" s="1"/>
  <c r="B235" i="5" s="1"/>
  <c r="B236" i="5" s="1"/>
  <c r="B237" i="5" s="1"/>
  <c r="B238" i="5" s="1"/>
  <c r="B239" i="5" s="1"/>
  <c r="B240" i="5" s="1"/>
  <c r="B241" i="5" s="1"/>
  <c r="B242" i="5" s="1"/>
  <c r="B243" i="5" s="1"/>
  <c r="B244" i="5" s="1"/>
  <c r="B245" i="5" s="1"/>
  <c r="B246" i="5" s="1"/>
  <c r="B247" i="5" s="1"/>
  <c r="B248" i="5" s="1"/>
  <c r="B249" i="5" s="1"/>
  <c r="B250" i="5" s="1"/>
  <c r="B251" i="5" s="1"/>
  <c r="B252" i="5" s="1"/>
  <c r="B253" i="5" s="1"/>
  <c r="B254" i="5" s="1"/>
  <c r="B255" i="5" s="1"/>
  <c r="B256" i="5" s="1"/>
  <c r="B257" i="5" s="1"/>
  <c r="B258" i="5" s="1"/>
  <c r="B259" i="5" s="1"/>
  <c r="B260" i="5" s="1"/>
  <c r="B261" i="5" s="1"/>
  <c r="B262" i="5" s="1"/>
  <c r="B263" i="5" s="1"/>
  <c r="B264" i="5" s="1"/>
  <c r="B265" i="5" s="1"/>
  <c r="B266" i="5" s="1"/>
  <c r="B267" i="5" s="1"/>
  <c r="B268" i="5" s="1"/>
  <c r="B269" i="5" s="1"/>
  <c r="B270" i="5" s="1"/>
  <c r="B271" i="5" s="1"/>
  <c r="B272" i="5" s="1"/>
  <c r="B273" i="5" s="1"/>
  <c r="B274" i="5" s="1"/>
  <c r="B275" i="5" s="1"/>
  <c r="B276" i="5" s="1"/>
  <c r="B277" i="5" s="1"/>
  <c r="B278" i="5" s="1"/>
  <c r="B279" i="5" s="1"/>
  <c r="B280" i="5" s="1"/>
  <c r="B281" i="5" s="1"/>
  <c r="B282" i="5" s="1"/>
  <c r="B283" i="5" s="1"/>
  <c r="B284" i="5" s="1"/>
  <c r="B285" i="5" s="1"/>
  <c r="B286" i="5" s="1"/>
  <c r="B287" i="5" s="1"/>
  <c r="B288" i="5" s="1"/>
  <c r="B289" i="5" s="1"/>
  <c r="B290" i="5" s="1"/>
  <c r="B291" i="5" s="1"/>
  <c r="B292" i="5" s="1"/>
  <c r="B293" i="5" s="1"/>
  <c r="B294" i="5" s="1"/>
  <c r="B295" i="5" s="1"/>
  <c r="B296" i="5" s="1"/>
  <c r="B297" i="5" s="1"/>
  <c r="B298" i="5" s="1"/>
  <c r="B299" i="5" s="1"/>
  <c r="B300" i="5" s="1"/>
  <c r="B301" i="5" s="1"/>
  <c r="B302" i="5" s="1"/>
  <c r="B303" i="5" s="1"/>
  <c r="B304" i="5" s="1"/>
  <c r="B305" i="5" s="1"/>
  <c r="B306" i="5" s="1"/>
  <c r="B307" i="5" s="1"/>
  <c r="B308" i="5" s="1"/>
  <c r="B309" i="5" s="1"/>
  <c r="B310" i="5" s="1"/>
  <c r="B311" i="5" s="1"/>
  <c r="B312" i="5" s="1"/>
  <c r="B313" i="5" s="1"/>
  <c r="B314" i="5" s="1"/>
  <c r="B315" i="5" s="1"/>
  <c r="B316" i="5" s="1"/>
  <c r="B317" i="5" s="1"/>
  <c r="B318" i="5" s="1"/>
  <c r="B319" i="5" s="1"/>
  <c r="B320" i="5" s="1"/>
  <c r="B321" i="5" s="1"/>
  <c r="B322" i="5" s="1"/>
  <c r="B323" i="5" s="1"/>
  <c r="B324" i="5" s="1"/>
  <c r="B325" i="5" s="1"/>
  <c r="B326" i="5" s="1"/>
  <c r="B327" i="5" s="1"/>
  <c r="B328" i="5" s="1"/>
  <c r="B329" i="5" s="1"/>
  <c r="B330" i="5" s="1"/>
  <c r="B331" i="5" s="1"/>
  <c r="B332" i="5" s="1"/>
  <c r="B333" i="5" s="1"/>
  <c r="B334" i="5" s="1"/>
  <c r="B335" i="5" s="1"/>
  <c r="B336" i="5" s="1"/>
  <c r="B337" i="5" s="1"/>
  <c r="B338" i="5" s="1"/>
  <c r="B339" i="5" s="1"/>
  <c r="B340" i="5" s="1"/>
  <c r="B341" i="5" s="1"/>
  <c r="B342" i="5" s="1"/>
  <c r="B343" i="5" s="1"/>
  <c r="B344" i="5" s="1"/>
  <c r="B345" i="5" s="1"/>
  <c r="B346" i="5" s="1"/>
  <c r="B347" i="5" s="1"/>
  <c r="B348" i="5" s="1"/>
  <c r="B349" i="5" s="1"/>
  <c r="B350" i="5" s="1"/>
  <c r="B351" i="5" s="1"/>
  <c r="B352" i="5" s="1"/>
  <c r="B353" i="5" s="1"/>
  <c r="B354" i="5" s="1"/>
  <c r="B355" i="5" s="1"/>
  <c r="B356" i="5" s="1"/>
  <c r="B357" i="5" s="1"/>
  <c r="B358" i="5" s="1"/>
  <c r="B359" i="5" s="1"/>
  <c r="B360" i="5" s="1"/>
  <c r="B361" i="5" s="1"/>
  <c r="B362" i="5" s="1"/>
  <c r="B363" i="5" s="1"/>
  <c r="K4" i="5" l="1"/>
  <c r="N4" i="5" s="1"/>
  <c r="R4" i="5" s="1"/>
  <c r="E10" i="5"/>
  <c r="D4" i="5"/>
  <c r="H4" i="5" s="1"/>
  <c r="E4" i="5"/>
  <c r="I4" i="5" s="1"/>
  <c r="D6" i="5"/>
  <c r="E17" i="5"/>
  <c r="E13" i="5"/>
  <c r="D21" i="5"/>
  <c r="E5" i="5"/>
  <c r="D18" i="5"/>
  <c r="D14" i="5"/>
  <c r="D10" i="5"/>
  <c r="E6" i="5"/>
  <c r="D17" i="5"/>
  <c r="D13" i="5"/>
  <c r="D9" i="5"/>
  <c r="E21" i="5"/>
  <c r="E16" i="5"/>
  <c r="E8" i="5"/>
  <c r="E12" i="5"/>
  <c r="D20" i="5"/>
  <c r="D16" i="5"/>
  <c r="D12" i="5"/>
  <c r="D8" i="5"/>
  <c r="E20" i="5"/>
  <c r="D5" i="5"/>
  <c r="E19" i="5"/>
  <c r="E15" i="5"/>
  <c r="E11" i="5"/>
  <c r="E7" i="5"/>
  <c r="E9" i="5"/>
  <c r="D19" i="5"/>
  <c r="D15" i="5"/>
  <c r="D11" i="5"/>
  <c r="D7" i="5"/>
  <c r="E18" i="5"/>
  <c r="E14" i="5"/>
  <c r="C15" i="4"/>
  <c r="L12" i="4"/>
  <c r="L13" i="4"/>
  <c r="L11" i="4"/>
  <c r="L10" i="4"/>
  <c r="B1" i="3" s="1"/>
  <c r="L4" i="5" l="1"/>
  <c r="Q4" i="5" s="1"/>
  <c r="I5" i="5"/>
  <c r="I6" i="5" s="1"/>
  <c r="I7" i="5" s="1"/>
  <c r="H5" i="5"/>
  <c r="H6" i="5" s="1"/>
  <c r="H7" i="5" s="1"/>
  <c r="G4" i="5"/>
  <c r="C5" i="5" s="1"/>
  <c r="F4" i="5"/>
  <c r="F18" i="5"/>
  <c r="F11" i="5"/>
  <c r="F5" i="5"/>
  <c r="F14" i="5"/>
  <c r="F8" i="5"/>
  <c r="F15" i="5"/>
  <c r="F12" i="5"/>
  <c r="F9" i="5"/>
  <c r="F21" i="5"/>
  <c r="F19" i="5"/>
  <c r="F16" i="5"/>
  <c r="F13" i="5"/>
  <c r="F20" i="5"/>
  <c r="F17" i="5"/>
  <c r="F6" i="5"/>
  <c r="F7" i="5"/>
  <c r="F10" i="5"/>
  <c r="D22" i="5"/>
  <c r="E22" i="5"/>
  <c r="L14" i="4"/>
  <c r="C9" i="4" s="1"/>
  <c r="O4" i="5" l="1"/>
  <c r="P4" i="5"/>
  <c r="K5" i="5" s="1"/>
  <c r="N5" i="5" s="1"/>
  <c r="R5" i="5" s="1"/>
  <c r="H8" i="5"/>
  <c r="H9" i="5" s="1"/>
  <c r="H10" i="5" s="1"/>
  <c r="H11" i="5" s="1"/>
  <c r="H12" i="5" s="1"/>
  <c r="H13" i="5" s="1"/>
  <c r="H14" i="5" s="1"/>
  <c r="H15" i="5" s="1"/>
  <c r="H16" i="5" s="1"/>
  <c r="H17" i="5" s="1"/>
  <c r="H18" i="5" s="1"/>
  <c r="H19" i="5" s="1"/>
  <c r="H20" i="5" s="1"/>
  <c r="H21" i="5" s="1"/>
  <c r="H22" i="5" s="1"/>
  <c r="B6" i="3"/>
  <c r="I8" i="5"/>
  <c r="I9" i="5" s="1"/>
  <c r="I10" i="5" s="1"/>
  <c r="I11" i="5" s="1"/>
  <c r="I12" i="5" s="1"/>
  <c r="I13" i="5" s="1"/>
  <c r="I14" i="5" s="1"/>
  <c r="I15" i="5" s="1"/>
  <c r="I16" i="5" s="1"/>
  <c r="I17" i="5" s="1"/>
  <c r="I18" i="5" s="1"/>
  <c r="I19" i="5" s="1"/>
  <c r="I20" i="5" s="1"/>
  <c r="I21" i="5" s="1"/>
  <c r="I22" i="5" s="1"/>
  <c r="B7" i="3"/>
  <c r="G5" i="5"/>
  <c r="C6" i="5" s="1"/>
  <c r="F22" i="5"/>
  <c r="M11" i="4"/>
  <c r="M13" i="4"/>
  <c r="M12" i="4"/>
  <c r="M14" i="4"/>
  <c r="M10" i="4"/>
  <c r="A24" i="5"/>
  <c r="E23" i="5"/>
  <c r="D23" i="5"/>
  <c r="H23" i="5" l="1"/>
  <c r="L5" i="5"/>
  <c r="Q5" i="5" s="1"/>
  <c r="G6" i="5"/>
  <c r="C7" i="5" s="1"/>
  <c r="I23" i="5"/>
  <c r="F23" i="5"/>
  <c r="D24" i="5"/>
  <c r="H24" i="5" s="1"/>
  <c r="E24" i="5"/>
  <c r="A25" i="5"/>
  <c r="O5" i="5" l="1"/>
  <c r="P5" i="5"/>
  <c r="G7" i="5"/>
  <c r="B8" i="3" s="1"/>
  <c r="B9" i="3" s="1"/>
  <c r="I24" i="5"/>
  <c r="F24" i="5"/>
  <c r="A26" i="5"/>
  <c r="E25" i="5"/>
  <c r="D25" i="5"/>
  <c r="H25" i="5" s="1"/>
  <c r="C8" i="5" l="1"/>
  <c r="G8" i="5" s="1"/>
  <c r="C9" i="5" s="1"/>
  <c r="C9" i="3"/>
  <c r="C3" i="4"/>
  <c r="B10" i="3"/>
  <c r="K6" i="5"/>
  <c r="N6" i="5" s="1"/>
  <c r="R6" i="5" s="1"/>
  <c r="I25" i="5"/>
  <c r="F25" i="5"/>
  <c r="A27" i="5"/>
  <c r="E26" i="5"/>
  <c r="D26" i="5"/>
  <c r="H26" i="5" s="1"/>
  <c r="L6" i="5" l="1"/>
  <c r="Q6" i="5" s="1"/>
  <c r="G9" i="5"/>
  <c r="C10" i="5" s="1"/>
  <c r="I26" i="5"/>
  <c r="F26" i="5"/>
  <c r="A28" i="5"/>
  <c r="D27" i="5"/>
  <c r="H27" i="5" s="1"/>
  <c r="E27" i="5"/>
  <c r="O6" i="5" l="1"/>
  <c r="P6" i="5"/>
  <c r="G10" i="5"/>
  <c r="C11" i="5" s="1"/>
  <c r="I27" i="5"/>
  <c r="F27" i="5"/>
  <c r="D28" i="5"/>
  <c r="H28" i="5" s="1"/>
  <c r="E28" i="5"/>
  <c r="A29" i="5"/>
  <c r="K7" i="5" l="1"/>
  <c r="N7" i="5" s="1"/>
  <c r="R7" i="5" s="1"/>
  <c r="G11" i="5"/>
  <c r="I28" i="5"/>
  <c r="C12" i="5"/>
  <c r="F28" i="5"/>
  <c r="A30" i="5"/>
  <c r="D29" i="5"/>
  <c r="H29" i="5" s="1"/>
  <c r="E29" i="5"/>
  <c r="L7" i="5" l="1"/>
  <c r="Q7" i="5" s="1"/>
  <c r="G12" i="5"/>
  <c r="C13" i="5" s="1"/>
  <c r="I29" i="5"/>
  <c r="F29" i="5"/>
  <c r="A31" i="5"/>
  <c r="E30" i="5"/>
  <c r="I30" i="5" s="1"/>
  <c r="D30" i="5"/>
  <c r="H30" i="5" s="1"/>
  <c r="O7" i="5" l="1"/>
  <c r="P7" i="5"/>
  <c r="G13" i="5"/>
  <c r="C14" i="5" s="1"/>
  <c r="F30" i="5"/>
  <c r="E31" i="5"/>
  <c r="I31" i="5" s="1"/>
  <c r="A32" i="5"/>
  <c r="D31" i="5"/>
  <c r="H31" i="5" s="1"/>
  <c r="K8" i="5" l="1"/>
  <c r="N8" i="5" s="1"/>
  <c r="R8" i="5" s="1"/>
  <c r="G14" i="5"/>
  <c r="C15" i="5" s="1"/>
  <c r="F31" i="5"/>
  <c r="E32" i="5"/>
  <c r="I32" i="5" s="1"/>
  <c r="A33" i="5"/>
  <c r="D32" i="5"/>
  <c r="H32" i="5" s="1"/>
  <c r="L8" i="5" l="1"/>
  <c r="Q8" i="5" s="1"/>
  <c r="G15" i="5"/>
  <c r="C16" i="5" s="1"/>
  <c r="F32" i="5"/>
  <c r="D33" i="5"/>
  <c r="H33" i="5" s="1"/>
  <c r="E33" i="5"/>
  <c r="I33" i="5" s="1"/>
  <c r="A34" i="5"/>
  <c r="O8" i="5" l="1"/>
  <c r="P8" i="5"/>
  <c r="G16" i="5"/>
  <c r="C17" i="5" s="1"/>
  <c r="F33" i="5"/>
  <c r="E34" i="5"/>
  <c r="I34" i="5" s="1"/>
  <c r="A35" i="5"/>
  <c r="D34" i="5"/>
  <c r="H34" i="5" s="1"/>
  <c r="K9" i="5" l="1"/>
  <c r="N9" i="5" s="1"/>
  <c r="R9" i="5" s="1"/>
  <c r="G17" i="5"/>
  <c r="C18" i="5" s="1"/>
  <c r="F34" i="5"/>
  <c r="D35" i="5"/>
  <c r="H35" i="5" s="1"/>
  <c r="E35" i="5"/>
  <c r="I35" i="5" s="1"/>
  <c r="A36" i="5"/>
  <c r="L9" i="5" l="1"/>
  <c r="Q9" i="5" s="1"/>
  <c r="G18" i="5"/>
  <c r="C19" i="5" s="1"/>
  <c r="F35" i="5"/>
  <c r="A37" i="5"/>
  <c r="E36" i="5"/>
  <c r="I36" i="5" s="1"/>
  <c r="D36" i="5"/>
  <c r="H36" i="5" s="1"/>
  <c r="O9" i="5" l="1"/>
  <c r="P9" i="5"/>
  <c r="K10" i="5" s="1"/>
  <c r="G19" i="5"/>
  <c r="C20" i="5" s="1"/>
  <c r="F36" i="5"/>
  <c r="E37" i="5"/>
  <c r="I37" i="5" s="1"/>
  <c r="A38" i="5"/>
  <c r="D37" i="5"/>
  <c r="H37" i="5" s="1"/>
  <c r="N10" i="5" l="1"/>
  <c r="R10" i="5" s="1"/>
  <c r="G20" i="5"/>
  <c r="C21" i="5" s="1"/>
  <c r="F37" i="5"/>
  <c r="A39" i="5"/>
  <c r="D38" i="5"/>
  <c r="H38" i="5" s="1"/>
  <c r="E38" i="5"/>
  <c r="I38" i="5" s="1"/>
  <c r="L10" i="5" l="1"/>
  <c r="Q10" i="5" s="1"/>
  <c r="G21" i="5"/>
  <c r="C22" i="5" s="1"/>
  <c r="F38" i="5"/>
  <c r="E39" i="5"/>
  <c r="I39" i="5" s="1"/>
  <c r="A40" i="5"/>
  <c r="D39" i="5"/>
  <c r="H39" i="5" s="1"/>
  <c r="O10" i="5" l="1"/>
  <c r="P10" i="5"/>
  <c r="K11" i="5" s="1"/>
  <c r="G22" i="5"/>
  <c r="C23" i="5" s="1"/>
  <c r="F39" i="5"/>
  <c r="A41" i="5"/>
  <c r="E40" i="5"/>
  <c r="I40" i="5" s="1"/>
  <c r="D40" i="5"/>
  <c r="H40" i="5" s="1"/>
  <c r="N11" i="5" l="1"/>
  <c r="R11" i="5" s="1"/>
  <c r="G23" i="5"/>
  <c r="C24" i="5" s="1"/>
  <c r="F40" i="5"/>
  <c r="E41" i="5"/>
  <c r="I41" i="5" s="1"/>
  <c r="A42" i="5"/>
  <c r="D41" i="5"/>
  <c r="H41" i="5" s="1"/>
  <c r="L11" i="5" l="1"/>
  <c r="Q11" i="5" s="1"/>
  <c r="G24" i="5"/>
  <c r="C25" i="5" s="1"/>
  <c r="F41" i="5"/>
  <c r="D42" i="5"/>
  <c r="H42" i="5" s="1"/>
  <c r="E42" i="5"/>
  <c r="I42" i="5" s="1"/>
  <c r="A43" i="5"/>
  <c r="O11" i="5" l="1"/>
  <c r="P11" i="5"/>
  <c r="K12" i="5" s="1"/>
  <c r="G25" i="5"/>
  <c r="C26" i="5" s="1"/>
  <c r="F42" i="5"/>
  <c r="A44" i="5"/>
  <c r="D43" i="5"/>
  <c r="H43" i="5" s="1"/>
  <c r="E43" i="5"/>
  <c r="I43" i="5" s="1"/>
  <c r="N12" i="5" l="1"/>
  <c r="R12" i="5" s="1"/>
  <c r="G26" i="5"/>
  <c r="C27" i="5" s="1"/>
  <c r="F43" i="5"/>
  <c r="E44" i="5"/>
  <c r="I44" i="5" s="1"/>
  <c r="A45" i="5"/>
  <c r="D44" i="5"/>
  <c r="H44" i="5" s="1"/>
  <c r="L12" i="5" l="1"/>
  <c r="Q12" i="5" s="1"/>
  <c r="G27" i="5"/>
  <c r="C28" i="5" s="1"/>
  <c r="F44" i="5"/>
  <c r="D45" i="5"/>
  <c r="H45" i="5" s="1"/>
  <c r="E45" i="5"/>
  <c r="I45" i="5" s="1"/>
  <c r="A46" i="5"/>
  <c r="O12" i="5" l="1"/>
  <c r="P12" i="5"/>
  <c r="K13" i="5" s="1"/>
  <c r="G28" i="5"/>
  <c r="C29" i="5" s="1"/>
  <c r="F45" i="5"/>
  <c r="A47" i="5"/>
  <c r="D46" i="5"/>
  <c r="H46" i="5" s="1"/>
  <c r="E46" i="5"/>
  <c r="I46" i="5" s="1"/>
  <c r="N13" i="5" l="1"/>
  <c r="R13" i="5" s="1"/>
  <c r="G29" i="5"/>
  <c r="C30" i="5" s="1"/>
  <c r="F46" i="5"/>
  <c r="D47" i="5"/>
  <c r="H47" i="5" s="1"/>
  <c r="E47" i="5"/>
  <c r="I47" i="5" s="1"/>
  <c r="A48" i="5"/>
  <c r="L13" i="5" l="1"/>
  <c r="Q13" i="5" s="1"/>
  <c r="G30" i="5"/>
  <c r="C31" i="5" s="1"/>
  <c r="F47" i="5"/>
  <c r="D48" i="5"/>
  <c r="H48" i="5" s="1"/>
  <c r="A49" i="5"/>
  <c r="E48" i="5"/>
  <c r="I48" i="5" s="1"/>
  <c r="O13" i="5" l="1"/>
  <c r="P13" i="5"/>
  <c r="K14" i="5" s="1"/>
  <c r="G31" i="5"/>
  <c r="C32" i="5" s="1"/>
  <c r="F48" i="5"/>
  <c r="D49" i="5"/>
  <c r="H49" i="5" s="1"/>
  <c r="E49" i="5"/>
  <c r="I49" i="5" s="1"/>
  <c r="A50" i="5"/>
  <c r="N14" i="5" l="1"/>
  <c r="R14" i="5" s="1"/>
  <c r="G32" i="5"/>
  <c r="C33" i="5" s="1"/>
  <c r="F49" i="5"/>
  <c r="A51" i="5"/>
  <c r="E50" i="5"/>
  <c r="I50" i="5" s="1"/>
  <c r="D50" i="5"/>
  <c r="H50" i="5" s="1"/>
  <c r="L14" i="5" l="1"/>
  <c r="Q14" i="5" s="1"/>
  <c r="G33" i="5"/>
  <c r="C34" i="5" s="1"/>
  <c r="F50" i="5"/>
  <c r="A52" i="5"/>
  <c r="D51" i="5"/>
  <c r="H51" i="5" s="1"/>
  <c r="E51" i="5"/>
  <c r="I51" i="5" s="1"/>
  <c r="O14" i="5" l="1"/>
  <c r="P14" i="5"/>
  <c r="K15" i="5" s="1"/>
  <c r="G34" i="5"/>
  <c r="C35" i="5" s="1"/>
  <c r="F51" i="5"/>
  <c r="E52" i="5"/>
  <c r="I52" i="5" s="1"/>
  <c r="A53" i="5"/>
  <c r="D52" i="5"/>
  <c r="H52" i="5" s="1"/>
  <c r="N15" i="5" l="1"/>
  <c r="R15" i="5" s="1"/>
  <c r="G35" i="5"/>
  <c r="C36" i="5" s="1"/>
  <c r="F52" i="5"/>
  <c r="A54" i="5"/>
  <c r="E53" i="5"/>
  <c r="I53" i="5" s="1"/>
  <c r="D53" i="5"/>
  <c r="H53" i="5" s="1"/>
  <c r="L15" i="5" l="1"/>
  <c r="Q15" i="5" s="1"/>
  <c r="G36" i="5"/>
  <c r="C37" i="5" s="1"/>
  <c r="F53" i="5"/>
  <c r="A55" i="5"/>
  <c r="D54" i="5"/>
  <c r="H54" i="5" s="1"/>
  <c r="E54" i="5"/>
  <c r="I54" i="5" s="1"/>
  <c r="O15" i="5" l="1"/>
  <c r="P15" i="5"/>
  <c r="K16" i="5" s="1"/>
  <c r="G37" i="5"/>
  <c r="C38" i="5" s="1"/>
  <c r="G38" i="5" s="1"/>
  <c r="C39" i="5" s="1"/>
  <c r="F54" i="5"/>
  <c r="E55" i="5"/>
  <c r="I55" i="5" s="1"/>
  <c r="D55" i="5"/>
  <c r="H55" i="5" s="1"/>
  <c r="A56" i="5"/>
  <c r="N16" i="5" l="1"/>
  <c r="R16" i="5" s="1"/>
  <c r="G39" i="5"/>
  <c r="C40" i="5" s="1"/>
  <c r="F55" i="5"/>
  <c r="A57" i="5"/>
  <c r="E56" i="5"/>
  <c r="I56" i="5" s="1"/>
  <c r="D56" i="5"/>
  <c r="H56" i="5" s="1"/>
  <c r="L16" i="5" l="1"/>
  <c r="Q16" i="5" s="1"/>
  <c r="G40" i="5"/>
  <c r="C41" i="5" s="1"/>
  <c r="F56" i="5"/>
  <c r="E57" i="5"/>
  <c r="I57" i="5" s="1"/>
  <c r="A58" i="5"/>
  <c r="D57" i="5"/>
  <c r="H57" i="5" s="1"/>
  <c r="O16" i="5" l="1"/>
  <c r="P16" i="5"/>
  <c r="K17" i="5" s="1"/>
  <c r="G41" i="5"/>
  <c r="C42" i="5" s="1"/>
  <c r="F57" i="5"/>
  <c r="D58" i="5"/>
  <c r="H58" i="5" s="1"/>
  <c r="E58" i="5"/>
  <c r="I58" i="5" s="1"/>
  <c r="A59" i="5"/>
  <c r="N17" i="5" l="1"/>
  <c r="R17" i="5" s="1"/>
  <c r="G42" i="5"/>
  <c r="C43" i="5" s="1"/>
  <c r="F58" i="5"/>
  <c r="E59" i="5"/>
  <c r="I59" i="5" s="1"/>
  <c r="A60" i="5"/>
  <c r="D59" i="5"/>
  <c r="H59" i="5" s="1"/>
  <c r="L17" i="5" l="1"/>
  <c r="Q17" i="5" s="1"/>
  <c r="G43" i="5"/>
  <c r="C44" i="5" s="1"/>
  <c r="F59" i="5"/>
  <c r="A61" i="5"/>
  <c r="D60" i="5"/>
  <c r="H60" i="5" s="1"/>
  <c r="E60" i="5"/>
  <c r="I60" i="5" s="1"/>
  <c r="O17" i="5" l="1"/>
  <c r="P17" i="5"/>
  <c r="K18" i="5" s="1"/>
  <c r="G44" i="5"/>
  <c r="C45" i="5" s="1"/>
  <c r="F60" i="5"/>
  <c r="D61" i="5"/>
  <c r="H61" i="5" s="1"/>
  <c r="E61" i="5"/>
  <c r="I61" i="5" s="1"/>
  <c r="A62" i="5"/>
  <c r="N18" i="5" l="1"/>
  <c r="R18" i="5" s="1"/>
  <c r="G45" i="5"/>
  <c r="C46" i="5" s="1"/>
  <c r="F61" i="5"/>
  <c r="E62" i="5"/>
  <c r="I62" i="5" s="1"/>
  <c r="D62" i="5"/>
  <c r="H62" i="5" s="1"/>
  <c r="A63" i="5"/>
  <c r="L18" i="5" l="1"/>
  <c r="Q18" i="5" s="1"/>
  <c r="G46" i="5"/>
  <c r="C47" i="5" s="1"/>
  <c r="F62" i="5"/>
  <c r="A64" i="5"/>
  <c r="D63" i="5"/>
  <c r="H63" i="5" s="1"/>
  <c r="E63" i="5"/>
  <c r="I63" i="5" s="1"/>
  <c r="O18" i="5" l="1"/>
  <c r="P18" i="5"/>
  <c r="K19" i="5" s="1"/>
  <c r="G47" i="5"/>
  <c r="C48" i="5" s="1"/>
  <c r="F63" i="5"/>
  <c r="D64" i="5"/>
  <c r="H64" i="5" s="1"/>
  <c r="A65" i="5"/>
  <c r="E64" i="5"/>
  <c r="I64" i="5" s="1"/>
  <c r="N19" i="5" l="1"/>
  <c r="R19" i="5" s="1"/>
  <c r="G48" i="5"/>
  <c r="C49" i="5" s="1"/>
  <c r="F64" i="5"/>
  <c r="A66" i="5"/>
  <c r="D65" i="5"/>
  <c r="H65" i="5" s="1"/>
  <c r="E65" i="5"/>
  <c r="I65" i="5" s="1"/>
  <c r="L19" i="5" l="1"/>
  <c r="Q19" i="5" s="1"/>
  <c r="G49" i="5"/>
  <c r="C50" i="5" s="1"/>
  <c r="F65" i="5"/>
  <c r="E66" i="5"/>
  <c r="I66" i="5" s="1"/>
  <c r="A67" i="5"/>
  <c r="D66" i="5"/>
  <c r="H66" i="5" s="1"/>
  <c r="O19" i="5" l="1"/>
  <c r="P19" i="5"/>
  <c r="K20" i="5" s="1"/>
  <c r="G50" i="5"/>
  <c r="C51" i="5" s="1"/>
  <c r="F66" i="5"/>
  <c r="E67" i="5"/>
  <c r="I67" i="5" s="1"/>
  <c r="A68" i="5"/>
  <c r="D67" i="5"/>
  <c r="H67" i="5" s="1"/>
  <c r="N20" i="5" l="1"/>
  <c r="R20" i="5" s="1"/>
  <c r="G51" i="5"/>
  <c r="C52" i="5" s="1"/>
  <c r="F67" i="5"/>
  <c r="E68" i="5"/>
  <c r="I68" i="5" s="1"/>
  <c r="A69" i="5"/>
  <c r="D68" i="5"/>
  <c r="H68" i="5" s="1"/>
  <c r="L20" i="5" l="1"/>
  <c r="Q20" i="5" s="1"/>
  <c r="G52" i="5"/>
  <c r="C53" i="5" s="1"/>
  <c r="F68" i="5"/>
  <c r="E69" i="5"/>
  <c r="I69" i="5" s="1"/>
  <c r="A70" i="5"/>
  <c r="D69" i="5"/>
  <c r="H69" i="5" s="1"/>
  <c r="O20" i="5" l="1"/>
  <c r="P20" i="5"/>
  <c r="K21" i="5" s="1"/>
  <c r="G53" i="5"/>
  <c r="C54" i="5" s="1"/>
  <c r="F69" i="5"/>
  <c r="D70" i="5"/>
  <c r="H70" i="5" s="1"/>
  <c r="A71" i="5"/>
  <c r="E70" i="5"/>
  <c r="I70" i="5" s="1"/>
  <c r="N21" i="5" l="1"/>
  <c r="R21" i="5" s="1"/>
  <c r="G54" i="5"/>
  <c r="C55" i="5" s="1"/>
  <c r="F70" i="5"/>
  <c r="A72" i="5"/>
  <c r="E71" i="5"/>
  <c r="I71" i="5" s="1"/>
  <c r="D71" i="5"/>
  <c r="H71" i="5" s="1"/>
  <c r="L21" i="5" l="1"/>
  <c r="Q21" i="5" s="1"/>
  <c r="G55" i="5"/>
  <c r="C56" i="5" s="1"/>
  <c r="F71" i="5"/>
  <c r="E72" i="5"/>
  <c r="I72" i="5" s="1"/>
  <c r="D72" i="5"/>
  <c r="H72" i="5" s="1"/>
  <c r="A73" i="5"/>
  <c r="O21" i="5" l="1"/>
  <c r="P21" i="5"/>
  <c r="K22" i="5" s="1"/>
  <c r="G56" i="5"/>
  <c r="C57" i="5" s="1"/>
  <c r="F72" i="5"/>
  <c r="E73" i="5"/>
  <c r="I73" i="5" s="1"/>
  <c r="D73" i="5"/>
  <c r="H73" i="5" s="1"/>
  <c r="A74" i="5"/>
  <c r="N22" i="5" l="1"/>
  <c r="R22" i="5" s="1"/>
  <c r="G57" i="5"/>
  <c r="C58" i="5" s="1"/>
  <c r="F73" i="5"/>
  <c r="A75" i="5"/>
  <c r="D74" i="5"/>
  <c r="H74" i="5" s="1"/>
  <c r="E74" i="5"/>
  <c r="I74" i="5" s="1"/>
  <c r="L22" i="5" l="1"/>
  <c r="Q22" i="5" s="1"/>
  <c r="G58" i="5"/>
  <c r="C59" i="5" s="1"/>
  <c r="F74" i="5"/>
  <c r="D75" i="5"/>
  <c r="H75" i="5" s="1"/>
  <c r="A76" i="5"/>
  <c r="E75" i="5"/>
  <c r="I75" i="5" s="1"/>
  <c r="O22" i="5" l="1"/>
  <c r="P22" i="5"/>
  <c r="K23" i="5" s="1"/>
  <c r="G59" i="5"/>
  <c r="C60" i="5" s="1"/>
  <c r="F75" i="5"/>
  <c r="D76" i="5"/>
  <c r="H76" i="5" s="1"/>
  <c r="E76" i="5"/>
  <c r="I76" i="5" s="1"/>
  <c r="A77" i="5"/>
  <c r="N23" i="5" l="1"/>
  <c r="R23" i="5" s="1"/>
  <c r="G60" i="5"/>
  <c r="C61" i="5" s="1"/>
  <c r="F76" i="5"/>
  <c r="D77" i="5"/>
  <c r="H77" i="5" s="1"/>
  <c r="E77" i="5"/>
  <c r="I77" i="5" s="1"/>
  <c r="A78" i="5"/>
  <c r="L23" i="5" l="1"/>
  <c r="Q23" i="5" s="1"/>
  <c r="G61" i="5"/>
  <c r="C62" i="5" s="1"/>
  <c r="F77" i="5"/>
  <c r="E78" i="5"/>
  <c r="I78" i="5" s="1"/>
  <c r="A79" i="5"/>
  <c r="D78" i="5"/>
  <c r="H78" i="5" s="1"/>
  <c r="O23" i="5" l="1"/>
  <c r="P23" i="5"/>
  <c r="K24" i="5" s="1"/>
  <c r="G62" i="5"/>
  <c r="C63" i="5" s="1"/>
  <c r="F78" i="5"/>
  <c r="E79" i="5"/>
  <c r="I79" i="5" s="1"/>
  <c r="A80" i="5"/>
  <c r="D79" i="5"/>
  <c r="H79" i="5" s="1"/>
  <c r="N24" i="5" l="1"/>
  <c r="R24" i="5" s="1"/>
  <c r="G63" i="5"/>
  <c r="C64" i="5" s="1"/>
  <c r="F79" i="5"/>
  <c r="E80" i="5"/>
  <c r="I80" i="5" s="1"/>
  <c r="D80" i="5"/>
  <c r="H80" i="5" s="1"/>
  <c r="A81" i="5"/>
  <c r="L24" i="5" l="1"/>
  <c r="Q24" i="5" s="1"/>
  <c r="G64" i="5"/>
  <c r="C65" i="5" s="1"/>
  <c r="F80" i="5"/>
  <c r="E81" i="5"/>
  <c r="I81" i="5" s="1"/>
  <c r="A82" i="5"/>
  <c r="D81" i="5"/>
  <c r="H81" i="5" s="1"/>
  <c r="O24" i="5" l="1"/>
  <c r="P24" i="5"/>
  <c r="K25" i="5" s="1"/>
  <c r="G65" i="5"/>
  <c r="C66" i="5" s="1"/>
  <c r="F81" i="5"/>
  <c r="E82" i="5"/>
  <c r="I82" i="5" s="1"/>
  <c r="D82" i="5"/>
  <c r="H82" i="5" s="1"/>
  <c r="A83" i="5"/>
  <c r="N25" i="5" l="1"/>
  <c r="R25" i="5" s="1"/>
  <c r="G66" i="5"/>
  <c r="C67" i="5" s="1"/>
  <c r="F82" i="5"/>
  <c r="A84" i="5"/>
  <c r="D83" i="5"/>
  <c r="H83" i="5" s="1"/>
  <c r="E83" i="5"/>
  <c r="I83" i="5" s="1"/>
  <c r="L25" i="5" l="1"/>
  <c r="Q25" i="5" s="1"/>
  <c r="G67" i="5"/>
  <c r="C68" i="5" s="1"/>
  <c r="F83" i="5"/>
  <c r="D84" i="5"/>
  <c r="H84" i="5" s="1"/>
  <c r="E84" i="5"/>
  <c r="I84" i="5" s="1"/>
  <c r="A85" i="5"/>
  <c r="O25" i="5" l="1"/>
  <c r="P25" i="5"/>
  <c r="K26" i="5" s="1"/>
  <c r="G68" i="5"/>
  <c r="C69" i="5" s="1"/>
  <c r="F84" i="5"/>
  <c r="E85" i="5"/>
  <c r="I85" i="5" s="1"/>
  <c r="A86" i="5"/>
  <c r="D85" i="5"/>
  <c r="H85" i="5" s="1"/>
  <c r="N26" i="5" l="1"/>
  <c r="R26" i="5" s="1"/>
  <c r="G69" i="5"/>
  <c r="C70" i="5" s="1"/>
  <c r="F85" i="5"/>
  <c r="D86" i="5"/>
  <c r="H86" i="5" s="1"/>
  <c r="E86" i="5"/>
  <c r="I86" i="5" s="1"/>
  <c r="A87" i="5"/>
  <c r="L26" i="5" l="1"/>
  <c r="Q26" i="5" s="1"/>
  <c r="G70" i="5"/>
  <c r="C71" i="5" s="1"/>
  <c r="F86" i="5"/>
  <c r="E87" i="5"/>
  <c r="I87" i="5" s="1"/>
  <c r="A88" i="5"/>
  <c r="D87" i="5"/>
  <c r="H87" i="5" s="1"/>
  <c r="O26" i="5" l="1"/>
  <c r="P26" i="5"/>
  <c r="K27" i="5" s="1"/>
  <c r="G71" i="5"/>
  <c r="C72" i="5" s="1"/>
  <c r="F87" i="5"/>
  <c r="D88" i="5"/>
  <c r="H88" i="5" s="1"/>
  <c r="E88" i="5"/>
  <c r="I88" i="5" s="1"/>
  <c r="A89" i="5"/>
  <c r="N27" i="5" l="1"/>
  <c r="R27" i="5" s="1"/>
  <c r="G72" i="5"/>
  <c r="C73" i="5" s="1"/>
  <c r="F88" i="5"/>
  <c r="A90" i="5"/>
  <c r="D89" i="5"/>
  <c r="H89" i="5" s="1"/>
  <c r="E89" i="5"/>
  <c r="I89" i="5" s="1"/>
  <c r="L27" i="5" l="1"/>
  <c r="Q27" i="5" s="1"/>
  <c r="G73" i="5"/>
  <c r="C74" i="5" s="1"/>
  <c r="F89" i="5"/>
  <c r="A91" i="5"/>
  <c r="D90" i="5"/>
  <c r="H90" i="5" s="1"/>
  <c r="E90" i="5"/>
  <c r="I90" i="5" s="1"/>
  <c r="O27" i="5" l="1"/>
  <c r="P27" i="5"/>
  <c r="K28" i="5" s="1"/>
  <c r="G74" i="5"/>
  <c r="C75" i="5" s="1"/>
  <c r="F90" i="5"/>
  <c r="E91" i="5"/>
  <c r="I91" i="5" s="1"/>
  <c r="D91" i="5"/>
  <c r="H91" i="5" s="1"/>
  <c r="A92" i="5"/>
  <c r="N28" i="5" l="1"/>
  <c r="R28" i="5" s="1"/>
  <c r="G75" i="5"/>
  <c r="C76" i="5" s="1"/>
  <c r="F91" i="5"/>
  <c r="E92" i="5"/>
  <c r="I92" i="5" s="1"/>
  <c r="A93" i="5"/>
  <c r="D92" i="5"/>
  <c r="H92" i="5" s="1"/>
  <c r="L28" i="5" l="1"/>
  <c r="Q28" i="5" s="1"/>
  <c r="G76" i="5"/>
  <c r="C77" i="5" s="1"/>
  <c r="F92" i="5"/>
  <c r="E93" i="5"/>
  <c r="I93" i="5" s="1"/>
  <c r="A94" i="5"/>
  <c r="D93" i="5"/>
  <c r="H93" i="5" s="1"/>
  <c r="O28" i="5" l="1"/>
  <c r="P28" i="5"/>
  <c r="K29" i="5" s="1"/>
  <c r="G77" i="5"/>
  <c r="C78" i="5" s="1"/>
  <c r="F93" i="5"/>
  <c r="D94" i="5"/>
  <c r="H94" i="5" s="1"/>
  <c r="E94" i="5"/>
  <c r="I94" i="5" s="1"/>
  <c r="A95" i="5"/>
  <c r="N29" i="5" l="1"/>
  <c r="R29" i="5" s="1"/>
  <c r="G78" i="5"/>
  <c r="C79" i="5" s="1"/>
  <c r="F94" i="5"/>
  <c r="D95" i="5"/>
  <c r="H95" i="5" s="1"/>
  <c r="E95" i="5"/>
  <c r="I95" i="5" s="1"/>
  <c r="A96" i="5"/>
  <c r="L29" i="5" l="1"/>
  <c r="Q29" i="5" s="1"/>
  <c r="G79" i="5"/>
  <c r="C80" i="5" s="1"/>
  <c r="F95" i="5"/>
  <c r="E96" i="5"/>
  <c r="I96" i="5" s="1"/>
  <c r="D96" i="5"/>
  <c r="H96" i="5" s="1"/>
  <c r="A97" i="5"/>
  <c r="O29" i="5" l="1"/>
  <c r="P29" i="5"/>
  <c r="K30" i="5" s="1"/>
  <c r="G80" i="5"/>
  <c r="C81" i="5" s="1"/>
  <c r="F96" i="5"/>
  <c r="A98" i="5"/>
  <c r="D97" i="5"/>
  <c r="H97" i="5" s="1"/>
  <c r="E97" i="5"/>
  <c r="I97" i="5" s="1"/>
  <c r="N30" i="5" l="1"/>
  <c r="R30" i="5" s="1"/>
  <c r="G81" i="5"/>
  <c r="C82" i="5" s="1"/>
  <c r="F97" i="5"/>
  <c r="E98" i="5"/>
  <c r="I98" i="5" s="1"/>
  <c r="A99" i="5"/>
  <c r="D98" i="5"/>
  <c r="H98" i="5" s="1"/>
  <c r="L30" i="5" l="1"/>
  <c r="Q30" i="5" s="1"/>
  <c r="G82" i="5"/>
  <c r="C83" i="5" s="1"/>
  <c r="F98" i="5"/>
  <c r="D99" i="5"/>
  <c r="H99" i="5" s="1"/>
  <c r="E99" i="5"/>
  <c r="I99" i="5" s="1"/>
  <c r="A100" i="5"/>
  <c r="O30" i="5" l="1"/>
  <c r="P30" i="5"/>
  <c r="K31" i="5" s="1"/>
  <c r="G83" i="5"/>
  <c r="C84" i="5" s="1"/>
  <c r="F99" i="5"/>
  <c r="A101" i="5"/>
  <c r="D100" i="5"/>
  <c r="H100" i="5" s="1"/>
  <c r="E100" i="5"/>
  <c r="I100" i="5" s="1"/>
  <c r="N31" i="5" l="1"/>
  <c r="R31" i="5" s="1"/>
  <c r="G84" i="5"/>
  <c r="C85" i="5" s="1"/>
  <c r="F100" i="5"/>
  <c r="A102" i="5"/>
  <c r="D101" i="5"/>
  <c r="H101" i="5" s="1"/>
  <c r="E101" i="5"/>
  <c r="I101" i="5" s="1"/>
  <c r="L31" i="5" l="1"/>
  <c r="Q31" i="5" s="1"/>
  <c r="G85" i="5"/>
  <c r="C86" i="5" s="1"/>
  <c r="F101" i="5"/>
  <c r="D102" i="5"/>
  <c r="H102" i="5" s="1"/>
  <c r="E102" i="5"/>
  <c r="I102" i="5" s="1"/>
  <c r="A103" i="5"/>
  <c r="O31" i="5" l="1"/>
  <c r="P31" i="5"/>
  <c r="K32" i="5" s="1"/>
  <c r="G86" i="5"/>
  <c r="C87" i="5" s="1"/>
  <c r="F102" i="5"/>
  <c r="D103" i="5"/>
  <c r="H103" i="5" s="1"/>
  <c r="E103" i="5"/>
  <c r="I103" i="5" s="1"/>
  <c r="A104" i="5"/>
  <c r="N32" i="5" l="1"/>
  <c r="R32" i="5" s="1"/>
  <c r="G87" i="5"/>
  <c r="C88" i="5" s="1"/>
  <c r="F103" i="5"/>
  <c r="E104" i="5"/>
  <c r="I104" i="5" s="1"/>
  <c r="D104" i="5"/>
  <c r="H104" i="5" s="1"/>
  <c r="A105" i="5"/>
  <c r="L32" i="5" l="1"/>
  <c r="Q32" i="5" s="1"/>
  <c r="G88" i="5"/>
  <c r="C89" i="5" s="1"/>
  <c r="F104" i="5"/>
  <c r="D105" i="5"/>
  <c r="H105" i="5" s="1"/>
  <c r="A106" i="5"/>
  <c r="E105" i="5"/>
  <c r="I105" i="5" s="1"/>
  <c r="O32" i="5" l="1"/>
  <c r="P32" i="5"/>
  <c r="K33" i="5" s="1"/>
  <c r="G89" i="5"/>
  <c r="C90" i="5" s="1"/>
  <c r="F105" i="5"/>
  <c r="E106" i="5"/>
  <c r="I106" i="5" s="1"/>
  <c r="A107" i="5"/>
  <c r="D106" i="5"/>
  <c r="H106" i="5" s="1"/>
  <c r="N33" i="5" l="1"/>
  <c r="R33" i="5" s="1"/>
  <c r="G90" i="5"/>
  <c r="C91" i="5" s="1"/>
  <c r="F106" i="5"/>
  <c r="E107" i="5"/>
  <c r="I107" i="5" s="1"/>
  <c r="A108" i="5"/>
  <c r="D107" i="5"/>
  <c r="H107" i="5" s="1"/>
  <c r="L33" i="5" l="1"/>
  <c r="Q33" i="5" s="1"/>
  <c r="G91" i="5"/>
  <c r="C92" i="5" s="1"/>
  <c r="F107" i="5"/>
  <c r="D108" i="5"/>
  <c r="H108" i="5" s="1"/>
  <c r="E108" i="5"/>
  <c r="I108" i="5" s="1"/>
  <c r="A109" i="5"/>
  <c r="O33" i="5" l="1"/>
  <c r="P33" i="5"/>
  <c r="K34" i="5" s="1"/>
  <c r="G92" i="5"/>
  <c r="C93" i="5" s="1"/>
  <c r="F108" i="5"/>
  <c r="E109" i="5"/>
  <c r="I109" i="5" s="1"/>
  <c r="A110" i="5"/>
  <c r="D109" i="5"/>
  <c r="H109" i="5" s="1"/>
  <c r="N34" i="5" l="1"/>
  <c r="R34" i="5" s="1"/>
  <c r="G93" i="5"/>
  <c r="C94" i="5" s="1"/>
  <c r="F109" i="5"/>
  <c r="A111" i="5"/>
  <c r="D110" i="5"/>
  <c r="H110" i="5" s="1"/>
  <c r="E110" i="5"/>
  <c r="I110" i="5" s="1"/>
  <c r="L34" i="5" l="1"/>
  <c r="Q34" i="5" s="1"/>
  <c r="G94" i="5"/>
  <c r="C95" i="5" s="1"/>
  <c r="F110" i="5"/>
  <c r="E111" i="5"/>
  <c r="I111" i="5" s="1"/>
  <c r="D111" i="5"/>
  <c r="H111" i="5" s="1"/>
  <c r="A112" i="5"/>
  <c r="O34" i="5" l="1"/>
  <c r="P34" i="5"/>
  <c r="K35" i="5" s="1"/>
  <c r="G95" i="5"/>
  <c r="C96" i="5" s="1"/>
  <c r="F111" i="5"/>
  <c r="E112" i="5"/>
  <c r="I112" i="5" s="1"/>
  <c r="A113" i="5"/>
  <c r="D112" i="5"/>
  <c r="H112" i="5" s="1"/>
  <c r="N35" i="5" l="1"/>
  <c r="R35" i="5" s="1"/>
  <c r="G96" i="5"/>
  <c r="C97" i="5" s="1"/>
  <c r="F112" i="5"/>
  <c r="A114" i="5"/>
  <c r="D113" i="5"/>
  <c r="H113" i="5" s="1"/>
  <c r="E113" i="5"/>
  <c r="I113" i="5" s="1"/>
  <c r="L35" i="5" l="1"/>
  <c r="Q35" i="5" s="1"/>
  <c r="G97" i="5"/>
  <c r="C98" i="5" s="1"/>
  <c r="F113" i="5"/>
  <c r="A115" i="5"/>
  <c r="D114" i="5"/>
  <c r="H114" i="5" s="1"/>
  <c r="E114" i="5"/>
  <c r="I114" i="5" s="1"/>
  <c r="O35" i="5" l="1"/>
  <c r="P35" i="5"/>
  <c r="K36" i="5" s="1"/>
  <c r="G98" i="5"/>
  <c r="C99" i="5" s="1"/>
  <c r="F114" i="5"/>
  <c r="E115" i="5"/>
  <c r="I115" i="5" s="1"/>
  <c r="A116" i="5"/>
  <c r="D115" i="5"/>
  <c r="H115" i="5" s="1"/>
  <c r="N36" i="5" l="1"/>
  <c r="R36" i="5" s="1"/>
  <c r="G99" i="5"/>
  <c r="C100" i="5" s="1"/>
  <c r="F115" i="5"/>
  <c r="E116" i="5"/>
  <c r="I116" i="5" s="1"/>
  <c r="A117" i="5"/>
  <c r="D116" i="5"/>
  <c r="H116" i="5" s="1"/>
  <c r="L36" i="5" l="1"/>
  <c r="Q36" i="5" s="1"/>
  <c r="G100" i="5"/>
  <c r="C101" i="5" s="1"/>
  <c r="F116" i="5"/>
  <c r="E117" i="5"/>
  <c r="I117" i="5" s="1"/>
  <c r="A118" i="5"/>
  <c r="D117" i="5"/>
  <c r="H117" i="5" s="1"/>
  <c r="O36" i="5" l="1"/>
  <c r="P36" i="5"/>
  <c r="K37" i="5" s="1"/>
  <c r="G101" i="5"/>
  <c r="C102" i="5" s="1"/>
  <c r="F117" i="5"/>
  <c r="D118" i="5"/>
  <c r="H118" i="5" s="1"/>
  <c r="E118" i="5"/>
  <c r="I118" i="5" s="1"/>
  <c r="A119" i="5"/>
  <c r="N37" i="5" l="1"/>
  <c r="R37" i="5" s="1"/>
  <c r="G102" i="5"/>
  <c r="C103" i="5" s="1"/>
  <c r="F118" i="5"/>
  <c r="E119" i="5"/>
  <c r="I119" i="5" s="1"/>
  <c r="A120" i="5"/>
  <c r="D119" i="5"/>
  <c r="H119" i="5" s="1"/>
  <c r="L37" i="5" l="1"/>
  <c r="Q37" i="5" s="1"/>
  <c r="G103" i="5"/>
  <c r="C104" i="5" s="1"/>
  <c r="F119" i="5"/>
  <c r="E120" i="5"/>
  <c r="I120" i="5" s="1"/>
  <c r="A121" i="5"/>
  <c r="D120" i="5"/>
  <c r="H120" i="5" s="1"/>
  <c r="O37" i="5" l="1"/>
  <c r="P37" i="5"/>
  <c r="K38" i="5" s="1"/>
  <c r="G104" i="5"/>
  <c r="C105" i="5" s="1"/>
  <c r="F120" i="5"/>
  <c r="D121" i="5"/>
  <c r="H121" i="5" s="1"/>
  <c r="E121" i="5"/>
  <c r="I121" i="5" s="1"/>
  <c r="A122" i="5"/>
  <c r="N38" i="5" l="1"/>
  <c r="R38" i="5" s="1"/>
  <c r="G105" i="5"/>
  <c r="C106" i="5" s="1"/>
  <c r="F121" i="5"/>
  <c r="D122" i="5"/>
  <c r="H122" i="5" s="1"/>
  <c r="E122" i="5"/>
  <c r="I122" i="5" s="1"/>
  <c r="A123" i="5"/>
  <c r="L38" i="5" l="1"/>
  <c r="Q38" i="5" s="1"/>
  <c r="G106" i="5"/>
  <c r="C107" i="5" s="1"/>
  <c r="F122" i="5"/>
  <c r="D123" i="5"/>
  <c r="H123" i="5" s="1"/>
  <c r="E123" i="5"/>
  <c r="I123" i="5" s="1"/>
  <c r="A124" i="5"/>
  <c r="O38" i="5" l="1"/>
  <c r="P38" i="5"/>
  <c r="K39" i="5" s="1"/>
  <c r="G107" i="5"/>
  <c r="C108" i="5" s="1"/>
  <c r="F123" i="5"/>
  <c r="E124" i="5"/>
  <c r="I124" i="5" s="1"/>
  <c r="A125" i="5"/>
  <c r="D124" i="5"/>
  <c r="H124" i="5" s="1"/>
  <c r="N39" i="5" l="1"/>
  <c r="R39" i="5" s="1"/>
  <c r="G108" i="5"/>
  <c r="C109" i="5" s="1"/>
  <c r="F124" i="5"/>
  <c r="E125" i="5"/>
  <c r="I125" i="5" s="1"/>
  <c r="A126" i="5"/>
  <c r="D125" i="5"/>
  <c r="H125" i="5" s="1"/>
  <c r="L39" i="5" l="1"/>
  <c r="Q39" i="5" s="1"/>
  <c r="G109" i="5"/>
  <c r="C110" i="5" s="1"/>
  <c r="F125" i="5"/>
  <c r="D126" i="5"/>
  <c r="H126" i="5" s="1"/>
  <c r="E126" i="5"/>
  <c r="I126" i="5" s="1"/>
  <c r="A127" i="5"/>
  <c r="O39" i="5" l="1"/>
  <c r="P39" i="5"/>
  <c r="K40" i="5" s="1"/>
  <c r="G110" i="5"/>
  <c r="C111" i="5" s="1"/>
  <c r="F126" i="5"/>
  <c r="D127" i="5"/>
  <c r="H127" i="5" s="1"/>
  <c r="E127" i="5"/>
  <c r="I127" i="5" s="1"/>
  <c r="A128" i="5"/>
  <c r="N40" i="5" l="1"/>
  <c r="R40" i="5" s="1"/>
  <c r="G111" i="5"/>
  <c r="C112" i="5" s="1"/>
  <c r="F127" i="5"/>
  <c r="A129" i="5"/>
  <c r="D128" i="5"/>
  <c r="H128" i="5" s="1"/>
  <c r="E128" i="5"/>
  <c r="I128" i="5" s="1"/>
  <c r="L40" i="5" l="1"/>
  <c r="Q40" i="5" s="1"/>
  <c r="G112" i="5"/>
  <c r="C113" i="5" s="1"/>
  <c r="F128" i="5"/>
  <c r="A130" i="5"/>
  <c r="E129" i="5"/>
  <c r="I129" i="5" s="1"/>
  <c r="D129" i="5"/>
  <c r="H129" i="5" s="1"/>
  <c r="O40" i="5" l="1"/>
  <c r="P40" i="5"/>
  <c r="K41" i="5" s="1"/>
  <c r="G113" i="5"/>
  <c r="C114" i="5" s="1"/>
  <c r="F129" i="5"/>
  <c r="E130" i="5"/>
  <c r="I130" i="5" s="1"/>
  <c r="A131" i="5"/>
  <c r="D130" i="5"/>
  <c r="H130" i="5" s="1"/>
  <c r="N41" i="5" l="1"/>
  <c r="R41" i="5" s="1"/>
  <c r="G114" i="5"/>
  <c r="C115" i="5" s="1"/>
  <c r="F130" i="5"/>
  <c r="D131" i="5"/>
  <c r="H131" i="5" s="1"/>
  <c r="A132" i="5"/>
  <c r="E131" i="5"/>
  <c r="I131" i="5" s="1"/>
  <c r="L41" i="5" l="1"/>
  <c r="Q41" i="5" s="1"/>
  <c r="G115" i="5"/>
  <c r="C116" i="5" s="1"/>
  <c r="F131" i="5"/>
  <c r="E132" i="5"/>
  <c r="I132" i="5" s="1"/>
  <c r="A133" i="5"/>
  <c r="D132" i="5"/>
  <c r="H132" i="5" s="1"/>
  <c r="O41" i="5" l="1"/>
  <c r="P41" i="5"/>
  <c r="K42" i="5" s="1"/>
  <c r="G116" i="5"/>
  <c r="C117" i="5" s="1"/>
  <c r="F132" i="5"/>
  <c r="A134" i="5"/>
  <c r="E133" i="5"/>
  <c r="I133" i="5" s="1"/>
  <c r="D133" i="5"/>
  <c r="H133" i="5" s="1"/>
  <c r="N42" i="5" l="1"/>
  <c r="R42" i="5" s="1"/>
  <c r="G117" i="5"/>
  <c r="C118" i="5" s="1"/>
  <c r="F133" i="5"/>
  <c r="E134" i="5"/>
  <c r="I134" i="5" s="1"/>
  <c r="A135" i="5"/>
  <c r="D134" i="5"/>
  <c r="H134" i="5" s="1"/>
  <c r="L42" i="5" l="1"/>
  <c r="Q42" i="5" s="1"/>
  <c r="G118" i="5"/>
  <c r="C119" i="5" s="1"/>
  <c r="F134" i="5"/>
  <c r="D135" i="5"/>
  <c r="H135" i="5" s="1"/>
  <c r="A136" i="5"/>
  <c r="E135" i="5"/>
  <c r="I135" i="5" s="1"/>
  <c r="O42" i="5" l="1"/>
  <c r="P42" i="5"/>
  <c r="K43" i="5" s="1"/>
  <c r="G119" i="5"/>
  <c r="C120" i="5" s="1"/>
  <c r="F135" i="5"/>
  <c r="E136" i="5"/>
  <c r="I136" i="5" s="1"/>
  <c r="A137" i="5"/>
  <c r="D136" i="5"/>
  <c r="H136" i="5" s="1"/>
  <c r="N43" i="5" l="1"/>
  <c r="R43" i="5" s="1"/>
  <c r="G120" i="5"/>
  <c r="C121" i="5" s="1"/>
  <c r="F136" i="5"/>
  <c r="A138" i="5"/>
  <c r="D137" i="5"/>
  <c r="H137" i="5" s="1"/>
  <c r="E137" i="5"/>
  <c r="I137" i="5" s="1"/>
  <c r="L43" i="5" l="1"/>
  <c r="Q43" i="5" s="1"/>
  <c r="G121" i="5"/>
  <c r="C122" i="5" s="1"/>
  <c r="F137" i="5"/>
  <c r="D138" i="5"/>
  <c r="H138" i="5" s="1"/>
  <c r="E138" i="5"/>
  <c r="I138" i="5" s="1"/>
  <c r="A139" i="5"/>
  <c r="O43" i="5" l="1"/>
  <c r="P43" i="5"/>
  <c r="K44" i="5" s="1"/>
  <c r="G122" i="5"/>
  <c r="C123" i="5" s="1"/>
  <c r="F138" i="5"/>
  <c r="D139" i="5"/>
  <c r="H139" i="5" s="1"/>
  <c r="A140" i="5"/>
  <c r="E139" i="5"/>
  <c r="I139" i="5" s="1"/>
  <c r="N44" i="5" l="1"/>
  <c r="R44" i="5" s="1"/>
  <c r="G123" i="5"/>
  <c r="C124" i="5" s="1"/>
  <c r="F139" i="5"/>
  <c r="E140" i="5"/>
  <c r="I140" i="5" s="1"/>
  <c r="D140" i="5"/>
  <c r="H140" i="5" s="1"/>
  <c r="A141" i="5"/>
  <c r="L44" i="5" l="1"/>
  <c r="Q44" i="5" s="1"/>
  <c r="G124" i="5"/>
  <c r="C125" i="5" s="1"/>
  <c r="F140" i="5"/>
  <c r="E141" i="5"/>
  <c r="I141" i="5" s="1"/>
  <c r="A142" i="5"/>
  <c r="D141" i="5"/>
  <c r="H141" i="5" s="1"/>
  <c r="O44" i="5" l="1"/>
  <c r="P44" i="5"/>
  <c r="K45" i="5" s="1"/>
  <c r="G125" i="5"/>
  <c r="C126" i="5" s="1"/>
  <c r="F141" i="5"/>
  <c r="E142" i="5"/>
  <c r="I142" i="5" s="1"/>
  <c r="D142" i="5"/>
  <c r="H142" i="5" s="1"/>
  <c r="A143" i="5"/>
  <c r="N45" i="5" l="1"/>
  <c r="R45" i="5" s="1"/>
  <c r="G126" i="5"/>
  <c r="C127" i="5" s="1"/>
  <c r="F142" i="5"/>
  <c r="A144" i="5"/>
  <c r="E143" i="5"/>
  <c r="I143" i="5" s="1"/>
  <c r="D143" i="5"/>
  <c r="H143" i="5" s="1"/>
  <c r="L45" i="5" l="1"/>
  <c r="Q45" i="5" s="1"/>
  <c r="G127" i="5"/>
  <c r="C128" i="5" s="1"/>
  <c r="F143" i="5"/>
  <c r="E144" i="5"/>
  <c r="I144" i="5" s="1"/>
  <c r="D144" i="5"/>
  <c r="H144" i="5" s="1"/>
  <c r="A145" i="5"/>
  <c r="O45" i="5" l="1"/>
  <c r="P45" i="5"/>
  <c r="K46" i="5" s="1"/>
  <c r="G128" i="5"/>
  <c r="C129" i="5" s="1"/>
  <c r="F144" i="5"/>
  <c r="E145" i="5"/>
  <c r="I145" i="5" s="1"/>
  <c r="A146" i="5"/>
  <c r="D145" i="5"/>
  <c r="H145" i="5" s="1"/>
  <c r="N46" i="5" l="1"/>
  <c r="R46" i="5" s="1"/>
  <c r="G129" i="5"/>
  <c r="C130" i="5" s="1"/>
  <c r="F145" i="5"/>
  <c r="E146" i="5"/>
  <c r="I146" i="5" s="1"/>
  <c r="D146" i="5"/>
  <c r="H146" i="5" s="1"/>
  <c r="A147" i="5"/>
  <c r="L46" i="5" l="1"/>
  <c r="Q46" i="5" s="1"/>
  <c r="G130" i="5"/>
  <c r="C131" i="5" s="1"/>
  <c r="F146" i="5"/>
  <c r="D147" i="5"/>
  <c r="H147" i="5" s="1"/>
  <c r="E147" i="5"/>
  <c r="I147" i="5" s="1"/>
  <c r="A148" i="5"/>
  <c r="O46" i="5" l="1"/>
  <c r="P46" i="5"/>
  <c r="K47" i="5" s="1"/>
  <c r="G131" i="5"/>
  <c r="C132" i="5" s="1"/>
  <c r="F147" i="5"/>
  <c r="E148" i="5"/>
  <c r="I148" i="5" s="1"/>
  <c r="A149" i="5"/>
  <c r="D148" i="5"/>
  <c r="H148" i="5" s="1"/>
  <c r="N47" i="5" l="1"/>
  <c r="R47" i="5" s="1"/>
  <c r="G132" i="5"/>
  <c r="C133" i="5" s="1"/>
  <c r="F148" i="5"/>
  <c r="A150" i="5"/>
  <c r="E149" i="5"/>
  <c r="I149" i="5" s="1"/>
  <c r="D149" i="5"/>
  <c r="H149" i="5" s="1"/>
  <c r="L47" i="5" l="1"/>
  <c r="Q47" i="5" s="1"/>
  <c r="G133" i="5"/>
  <c r="C134" i="5" s="1"/>
  <c r="F149" i="5"/>
  <c r="A151" i="5"/>
  <c r="D150" i="5"/>
  <c r="H150" i="5" s="1"/>
  <c r="E150" i="5"/>
  <c r="I150" i="5" s="1"/>
  <c r="O47" i="5" l="1"/>
  <c r="P47" i="5"/>
  <c r="K48" i="5" s="1"/>
  <c r="G134" i="5"/>
  <c r="C135" i="5" s="1"/>
  <c r="F150" i="5"/>
  <c r="A152" i="5"/>
  <c r="E151" i="5"/>
  <c r="I151" i="5" s="1"/>
  <c r="D151" i="5"/>
  <c r="H151" i="5" s="1"/>
  <c r="N48" i="5" l="1"/>
  <c r="R48" i="5" s="1"/>
  <c r="G135" i="5"/>
  <c r="C136" i="5" s="1"/>
  <c r="F151" i="5"/>
  <c r="A153" i="5"/>
  <c r="D152" i="5"/>
  <c r="H152" i="5" s="1"/>
  <c r="E152" i="5"/>
  <c r="I152" i="5" s="1"/>
  <c r="L48" i="5" l="1"/>
  <c r="Q48" i="5" s="1"/>
  <c r="G136" i="5"/>
  <c r="C137" i="5" s="1"/>
  <c r="F152" i="5"/>
  <c r="A154" i="5"/>
  <c r="D153" i="5"/>
  <c r="H153" i="5" s="1"/>
  <c r="E153" i="5"/>
  <c r="I153" i="5" s="1"/>
  <c r="O48" i="5" l="1"/>
  <c r="P48" i="5"/>
  <c r="K49" i="5" s="1"/>
  <c r="G137" i="5"/>
  <c r="C138" i="5" s="1"/>
  <c r="F153" i="5"/>
  <c r="A155" i="5"/>
  <c r="E154" i="5"/>
  <c r="I154" i="5" s="1"/>
  <c r="D154" i="5"/>
  <c r="H154" i="5" s="1"/>
  <c r="N49" i="5" l="1"/>
  <c r="R49" i="5" s="1"/>
  <c r="G138" i="5"/>
  <c r="C139" i="5" s="1"/>
  <c r="F154" i="5"/>
  <c r="A156" i="5"/>
  <c r="D155" i="5"/>
  <c r="H155" i="5" s="1"/>
  <c r="E155" i="5"/>
  <c r="I155" i="5" s="1"/>
  <c r="L49" i="5" l="1"/>
  <c r="Q49" i="5" s="1"/>
  <c r="G139" i="5"/>
  <c r="C140" i="5" s="1"/>
  <c r="F155" i="5"/>
  <c r="D156" i="5"/>
  <c r="H156" i="5" s="1"/>
  <c r="E156" i="5"/>
  <c r="I156" i="5" s="1"/>
  <c r="A157" i="5"/>
  <c r="O49" i="5" l="1"/>
  <c r="P49" i="5"/>
  <c r="K50" i="5" s="1"/>
  <c r="G140" i="5"/>
  <c r="C141" i="5" s="1"/>
  <c r="F156" i="5"/>
  <c r="D157" i="5"/>
  <c r="H157" i="5" s="1"/>
  <c r="E157" i="5"/>
  <c r="I157" i="5" s="1"/>
  <c r="A158" i="5"/>
  <c r="N50" i="5" l="1"/>
  <c r="R50" i="5" s="1"/>
  <c r="G141" i="5"/>
  <c r="C142" i="5" s="1"/>
  <c r="F157" i="5"/>
  <c r="D158" i="5"/>
  <c r="H158" i="5" s="1"/>
  <c r="E158" i="5"/>
  <c r="I158" i="5" s="1"/>
  <c r="A159" i="5"/>
  <c r="L50" i="5" l="1"/>
  <c r="Q50" i="5" s="1"/>
  <c r="G142" i="5"/>
  <c r="C143" i="5" s="1"/>
  <c r="F158" i="5"/>
  <c r="A160" i="5"/>
  <c r="E159" i="5"/>
  <c r="I159" i="5" s="1"/>
  <c r="D159" i="5"/>
  <c r="H159" i="5" s="1"/>
  <c r="O50" i="5" l="1"/>
  <c r="P50" i="5"/>
  <c r="K51" i="5" s="1"/>
  <c r="G143" i="5"/>
  <c r="C144" i="5" s="1"/>
  <c r="F159" i="5"/>
  <c r="A161" i="5"/>
  <c r="E160" i="5"/>
  <c r="I160" i="5" s="1"/>
  <c r="D160" i="5"/>
  <c r="H160" i="5" s="1"/>
  <c r="N51" i="5" l="1"/>
  <c r="R51" i="5" s="1"/>
  <c r="G144" i="5"/>
  <c r="C145" i="5" s="1"/>
  <c r="F160" i="5"/>
  <c r="A162" i="5"/>
  <c r="E161" i="5"/>
  <c r="I161" i="5" s="1"/>
  <c r="D161" i="5"/>
  <c r="H161" i="5" s="1"/>
  <c r="L51" i="5" l="1"/>
  <c r="Q51" i="5" s="1"/>
  <c r="G145" i="5"/>
  <c r="C146" i="5" s="1"/>
  <c r="F161" i="5"/>
  <c r="D162" i="5"/>
  <c r="H162" i="5" s="1"/>
  <c r="E162" i="5"/>
  <c r="I162" i="5" s="1"/>
  <c r="A163" i="5"/>
  <c r="O51" i="5" l="1"/>
  <c r="P51" i="5"/>
  <c r="K52" i="5" s="1"/>
  <c r="G146" i="5"/>
  <c r="C147" i="5" s="1"/>
  <c r="F162" i="5"/>
  <c r="A164" i="5"/>
  <c r="E163" i="5"/>
  <c r="I163" i="5" s="1"/>
  <c r="D163" i="5"/>
  <c r="H163" i="5" s="1"/>
  <c r="N52" i="5" l="1"/>
  <c r="R52" i="5" s="1"/>
  <c r="G147" i="5"/>
  <c r="C148" i="5" s="1"/>
  <c r="F163" i="5"/>
  <c r="A165" i="5"/>
  <c r="D164" i="5"/>
  <c r="H164" i="5" s="1"/>
  <c r="E164" i="5"/>
  <c r="I164" i="5" s="1"/>
  <c r="L52" i="5" l="1"/>
  <c r="Q52" i="5" s="1"/>
  <c r="G148" i="5"/>
  <c r="C149" i="5" s="1"/>
  <c r="F164" i="5"/>
  <c r="D165" i="5"/>
  <c r="H165" i="5" s="1"/>
  <c r="A166" i="5"/>
  <c r="E165" i="5"/>
  <c r="I165" i="5" s="1"/>
  <c r="O52" i="5" l="1"/>
  <c r="P52" i="5"/>
  <c r="K53" i="5" s="1"/>
  <c r="G149" i="5"/>
  <c r="C150" i="5" s="1"/>
  <c r="F165" i="5"/>
  <c r="E166" i="5"/>
  <c r="I166" i="5" s="1"/>
  <c r="D166" i="5"/>
  <c r="H166" i="5" s="1"/>
  <c r="A167" i="5"/>
  <c r="N53" i="5" l="1"/>
  <c r="R53" i="5" s="1"/>
  <c r="G150" i="5"/>
  <c r="C151" i="5" s="1"/>
  <c r="F166" i="5"/>
  <c r="A168" i="5"/>
  <c r="E167" i="5"/>
  <c r="I167" i="5" s="1"/>
  <c r="D167" i="5"/>
  <c r="H167" i="5" s="1"/>
  <c r="L53" i="5" l="1"/>
  <c r="Q53" i="5" s="1"/>
  <c r="G151" i="5"/>
  <c r="C152" i="5" s="1"/>
  <c r="F167" i="5"/>
  <c r="E168" i="5"/>
  <c r="I168" i="5" s="1"/>
  <c r="D168" i="5"/>
  <c r="H168" i="5" s="1"/>
  <c r="A169" i="5"/>
  <c r="O53" i="5" l="1"/>
  <c r="P53" i="5"/>
  <c r="K54" i="5" s="1"/>
  <c r="G152" i="5"/>
  <c r="C153" i="5" s="1"/>
  <c r="F168" i="5"/>
  <c r="D169" i="5"/>
  <c r="H169" i="5" s="1"/>
  <c r="E169" i="5"/>
  <c r="I169" i="5" s="1"/>
  <c r="A170" i="5"/>
  <c r="N54" i="5" l="1"/>
  <c r="R54" i="5" s="1"/>
  <c r="G153" i="5"/>
  <c r="C154" i="5" s="1"/>
  <c r="F169" i="5"/>
  <c r="D170" i="5"/>
  <c r="H170" i="5" s="1"/>
  <c r="E170" i="5"/>
  <c r="I170" i="5" s="1"/>
  <c r="A171" i="5"/>
  <c r="L54" i="5" l="1"/>
  <c r="Q54" i="5" s="1"/>
  <c r="G154" i="5"/>
  <c r="C155" i="5" s="1"/>
  <c r="F170" i="5"/>
  <c r="A172" i="5"/>
  <c r="E171" i="5"/>
  <c r="I171" i="5" s="1"/>
  <c r="D171" i="5"/>
  <c r="H171" i="5" s="1"/>
  <c r="O54" i="5" l="1"/>
  <c r="P54" i="5"/>
  <c r="K55" i="5" s="1"/>
  <c r="G155" i="5"/>
  <c r="C156" i="5" s="1"/>
  <c r="F171" i="5"/>
  <c r="D172" i="5"/>
  <c r="H172" i="5" s="1"/>
  <c r="E172" i="5"/>
  <c r="I172" i="5" s="1"/>
  <c r="A173" i="5"/>
  <c r="N55" i="5" l="1"/>
  <c r="R55" i="5" s="1"/>
  <c r="G156" i="5"/>
  <c r="C157" i="5" s="1"/>
  <c r="F172" i="5"/>
  <c r="E173" i="5"/>
  <c r="I173" i="5" s="1"/>
  <c r="A174" i="5"/>
  <c r="D173" i="5"/>
  <c r="H173" i="5" s="1"/>
  <c r="L55" i="5" l="1"/>
  <c r="Q55" i="5" s="1"/>
  <c r="G157" i="5"/>
  <c r="C158" i="5" s="1"/>
  <c r="F173" i="5"/>
  <c r="A175" i="5"/>
  <c r="D174" i="5"/>
  <c r="H174" i="5" s="1"/>
  <c r="E174" i="5"/>
  <c r="I174" i="5" s="1"/>
  <c r="O55" i="5" l="1"/>
  <c r="P55" i="5"/>
  <c r="K56" i="5" s="1"/>
  <c r="G158" i="5"/>
  <c r="C159" i="5" s="1"/>
  <c r="F174" i="5"/>
  <c r="E175" i="5"/>
  <c r="I175" i="5" s="1"/>
  <c r="D175" i="5"/>
  <c r="H175" i="5" s="1"/>
  <c r="A176" i="5"/>
  <c r="N56" i="5" l="1"/>
  <c r="R56" i="5" s="1"/>
  <c r="G159" i="5"/>
  <c r="C160" i="5" s="1"/>
  <c r="F175" i="5"/>
  <c r="D176" i="5"/>
  <c r="H176" i="5" s="1"/>
  <c r="E176" i="5"/>
  <c r="I176" i="5" s="1"/>
  <c r="A177" i="5"/>
  <c r="L56" i="5" l="1"/>
  <c r="Q56" i="5" s="1"/>
  <c r="G160" i="5"/>
  <c r="C161" i="5" s="1"/>
  <c r="F176" i="5"/>
  <c r="E177" i="5"/>
  <c r="I177" i="5" s="1"/>
  <c r="A178" i="5"/>
  <c r="D177" i="5"/>
  <c r="H177" i="5" s="1"/>
  <c r="O56" i="5" l="1"/>
  <c r="P56" i="5"/>
  <c r="K57" i="5" s="1"/>
  <c r="G161" i="5"/>
  <c r="C162" i="5" s="1"/>
  <c r="F177" i="5"/>
  <c r="D178" i="5"/>
  <c r="H178" i="5" s="1"/>
  <c r="E178" i="5"/>
  <c r="I178" i="5" s="1"/>
  <c r="A179" i="5"/>
  <c r="N57" i="5" l="1"/>
  <c r="R57" i="5" s="1"/>
  <c r="G162" i="5"/>
  <c r="C163" i="5" s="1"/>
  <c r="F178" i="5"/>
  <c r="E179" i="5"/>
  <c r="I179" i="5" s="1"/>
  <c r="D179" i="5"/>
  <c r="H179" i="5" s="1"/>
  <c r="A180" i="5"/>
  <c r="L57" i="5" l="1"/>
  <c r="Q57" i="5" s="1"/>
  <c r="G163" i="5"/>
  <c r="C164" i="5" s="1"/>
  <c r="F179" i="5"/>
  <c r="A181" i="5"/>
  <c r="D180" i="5"/>
  <c r="H180" i="5" s="1"/>
  <c r="E180" i="5"/>
  <c r="I180" i="5" s="1"/>
  <c r="O57" i="5" l="1"/>
  <c r="P57" i="5"/>
  <c r="K58" i="5" s="1"/>
  <c r="G164" i="5"/>
  <c r="C165" i="5" s="1"/>
  <c r="F180" i="5"/>
  <c r="D181" i="5"/>
  <c r="H181" i="5" s="1"/>
  <c r="E181" i="5"/>
  <c r="I181" i="5" s="1"/>
  <c r="A182" i="5"/>
  <c r="N58" i="5" l="1"/>
  <c r="R58" i="5" s="1"/>
  <c r="G165" i="5"/>
  <c r="C166" i="5" s="1"/>
  <c r="F181" i="5"/>
  <c r="A183" i="5"/>
  <c r="D182" i="5"/>
  <c r="H182" i="5" s="1"/>
  <c r="E182" i="5"/>
  <c r="I182" i="5" s="1"/>
  <c r="L58" i="5" l="1"/>
  <c r="Q58" i="5" s="1"/>
  <c r="G166" i="5"/>
  <c r="C167" i="5" s="1"/>
  <c r="F182" i="5"/>
  <c r="D183" i="5"/>
  <c r="H183" i="5" s="1"/>
  <c r="E183" i="5"/>
  <c r="I183" i="5" s="1"/>
  <c r="A184" i="5"/>
  <c r="O58" i="5" l="1"/>
  <c r="P58" i="5"/>
  <c r="K59" i="5" s="1"/>
  <c r="G167" i="5"/>
  <c r="C168" i="5" s="1"/>
  <c r="F183" i="5"/>
  <c r="D184" i="5"/>
  <c r="H184" i="5" s="1"/>
  <c r="E184" i="5"/>
  <c r="I184" i="5" s="1"/>
  <c r="A185" i="5"/>
  <c r="N59" i="5" l="1"/>
  <c r="R59" i="5" s="1"/>
  <c r="G168" i="5"/>
  <c r="C169" i="5" s="1"/>
  <c r="F184" i="5"/>
  <c r="E185" i="5"/>
  <c r="I185" i="5" s="1"/>
  <c r="A186" i="5"/>
  <c r="D185" i="5"/>
  <c r="H185" i="5" s="1"/>
  <c r="L59" i="5" l="1"/>
  <c r="Q59" i="5" s="1"/>
  <c r="G169" i="5"/>
  <c r="C170" i="5" s="1"/>
  <c r="F185" i="5"/>
  <c r="A187" i="5"/>
  <c r="D186" i="5"/>
  <c r="H186" i="5" s="1"/>
  <c r="E186" i="5"/>
  <c r="I186" i="5" s="1"/>
  <c r="O59" i="5" l="1"/>
  <c r="P59" i="5"/>
  <c r="K60" i="5" s="1"/>
  <c r="G170" i="5"/>
  <c r="C171" i="5" s="1"/>
  <c r="F186" i="5"/>
  <c r="E187" i="5"/>
  <c r="I187" i="5" s="1"/>
  <c r="D187" i="5"/>
  <c r="H187" i="5" s="1"/>
  <c r="A188" i="5"/>
  <c r="N60" i="5" l="1"/>
  <c r="R60" i="5" s="1"/>
  <c r="G171" i="5"/>
  <c r="C172" i="5" s="1"/>
  <c r="F187" i="5"/>
  <c r="E188" i="5"/>
  <c r="I188" i="5" s="1"/>
  <c r="A189" i="5"/>
  <c r="D188" i="5"/>
  <c r="H188" i="5" s="1"/>
  <c r="L60" i="5" l="1"/>
  <c r="Q60" i="5" s="1"/>
  <c r="G172" i="5"/>
  <c r="C173" i="5" s="1"/>
  <c r="F188" i="5"/>
  <c r="E189" i="5"/>
  <c r="I189" i="5" s="1"/>
  <c r="A190" i="5"/>
  <c r="D189" i="5"/>
  <c r="H189" i="5" s="1"/>
  <c r="O60" i="5" l="1"/>
  <c r="P60" i="5"/>
  <c r="K61" i="5" s="1"/>
  <c r="G173" i="5"/>
  <c r="C174" i="5" s="1"/>
  <c r="F189" i="5"/>
  <c r="A191" i="5"/>
  <c r="D190" i="5"/>
  <c r="H190" i="5" s="1"/>
  <c r="E190" i="5"/>
  <c r="I190" i="5" s="1"/>
  <c r="N61" i="5" l="1"/>
  <c r="R61" i="5" s="1"/>
  <c r="G174" i="5"/>
  <c r="C175" i="5" s="1"/>
  <c r="F190" i="5"/>
  <c r="E191" i="5"/>
  <c r="I191" i="5" s="1"/>
  <c r="A192" i="5"/>
  <c r="D191" i="5"/>
  <c r="H191" i="5" s="1"/>
  <c r="L61" i="5" l="1"/>
  <c r="Q61" i="5" s="1"/>
  <c r="G175" i="5"/>
  <c r="C176" i="5" s="1"/>
  <c r="F191" i="5"/>
  <c r="E192" i="5"/>
  <c r="I192" i="5" s="1"/>
  <c r="A193" i="5"/>
  <c r="D192" i="5"/>
  <c r="H192" i="5" s="1"/>
  <c r="O61" i="5" l="1"/>
  <c r="P61" i="5"/>
  <c r="K62" i="5" s="1"/>
  <c r="G176" i="5"/>
  <c r="C177" i="5" s="1"/>
  <c r="F192" i="5"/>
  <c r="E193" i="5"/>
  <c r="I193" i="5" s="1"/>
  <c r="A194" i="5"/>
  <c r="D193" i="5"/>
  <c r="H193" i="5" s="1"/>
  <c r="N62" i="5" l="1"/>
  <c r="R62" i="5" s="1"/>
  <c r="G177" i="5"/>
  <c r="C178" i="5" s="1"/>
  <c r="F193" i="5"/>
  <c r="D194" i="5"/>
  <c r="H194" i="5" s="1"/>
  <c r="A195" i="5"/>
  <c r="E194" i="5"/>
  <c r="I194" i="5" s="1"/>
  <c r="L62" i="5" l="1"/>
  <c r="Q62" i="5" s="1"/>
  <c r="G178" i="5"/>
  <c r="C179" i="5" s="1"/>
  <c r="F194" i="5"/>
  <c r="D195" i="5"/>
  <c r="H195" i="5" s="1"/>
  <c r="E195" i="5"/>
  <c r="I195" i="5" s="1"/>
  <c r="A196" i="5"/>
  <c r="O62" i="5" l="1"/>
  <c r="P62" i="5"/>
  <c r="K63" i="5" s="1"/>
  <c r="G179" i="5"/>
  <c r="C180" i="5" s="1"/>
  <c r="F195" i="5"/>
  <c r="A197" i="5"/>
  <c r="D196" i="5"/>
  <c r="H196" i="5" s="1"/>
  <c r="E196" i="5"/>
  <c r="I196" i="5" s="1"/>
  <c r="N63" i="5" l="1"/>
  <c r="R63" i="5" s="1"/>
  <c r="G180" i="5"/>
  <c r="C181" i="5" s="1"/>
  <c r="F196" i="5"/>
  <c r="E197" i="5"/>
  <c r="I197" i="5" s="1"/>
  <c r="A198" i="5"/>
  <c r="D197" i="5"/>
  <c r="H197" i="5" s="1"/>
  <c r="L63" i="5" l="1"/>
  <c r="Q63" i="5" s="1"/>
  <c r="G181" i="5"/>
  <c r="C182" i="5" s="1"/>
  <c r="F197" i="5"/>
  <c r="A199" i="5"/>
  <c r="D198" i="5"/>
  <c r="H198" i="5" s="1"/>
  <c r="E198" i="5"/>
  <c r="I198" i="5" s="1"/>
  <c r="O63" i="5" l="1"/>
  <c r="P63" i="5"/>
  <c r="K64" i="5" s="1"/>
  <c r="G182" i="5"/>
  <c r="C183" i="5" s="1"/>
  <c r="F198" i="5"/>
  <c r="E199" i="5"/>
  <c r="I199" i="5" s="1"/>
  <c r="A200" i="5"/>
  <c r="D199" i="5"/>
  <c r="H199" i="5" s="1"/>
  <c r="N64" i="5" l="1"/>
  <c r="R64" i="5" s="1"/>
  <c r="G183" i="5"/>
  <c r="C184" i="5" s="1"/>
  <c r="F199" i="5"/>
  <c r="D200" i="5"/>
  <c r="H200" i="5" s="1"/>
  <c r="E200" i="5"/>
  <c r="I200" i="5" s="1"/>
  <c r="A201" i="5"/>
  <c r="L64" i="5" l="1"/>
  <c r="Q64" i="5" s="1"/>
  <c r="G184" i="5"/>
  <c r="C185" i="5" s="1"/>
  <c r="F200" i="5"/>
  <c r="E201" i="5"/>
  <c r="I201" i="5" s="1"/>
  <c r="D201" i="5"/>
  <c r="H201" i="5" s="1"/>
  <c r="A202" i="5"/>
  <c r="O64" i="5" l="1"/>
  <c r="P64" i="5"/>
  <c r="K65" i="5" s="1"/>
  <c r="G185" i="5"/>
  <c r="C186" i="5" s="1"/>
  <c r="F201" i="5"/>
  <c r="D202" i="5"/>
  <c r="H202" i="5" s="1"/>
  <c r="E202" i="5"/>
  <c r="I202" i="5" s="1"/>
  <c r="A203" i="5"/>
  <c r="N65" i="5" l="1"/>
  <c r="R65" i="5" s="1"/>
  <c r="G186" i="5"/>
  <c r="C187" i="5" s="1"/>
  <c r="F202" i="5"/>
  <c r="E203" i="5"/>
  <c r="I203" i="5" s="1"/>
  <c r="D203" i="5"/>
  <c r="H203" i="5" s="1"/>
  <c r="A204" i="5"/>
  <c r="L65" i="5" l="1"/>
  <c r="Q65" i="5" s="1"/>
  <c r="G187" i="5"/>
  <c r="C188" i="5" s="1"/>
  <c r="F203" i="5"/>
  <c r="D204" i="5"/>
  <c r="H204" i="5" s="1"/>
  <c r="A205" i="5"/>
  <c r="E204" i="5"/>
  <c r="I204" i="5" s="1"/>
  <c r="O65" i="5" l="1"/>
  <c r="P65" i="5"/>
  <c r="K66" i="5" s="1"/>
  <c r="G188" i="5"/>
  <c r="C189" i="5" s="1"/>
  <c r="F204" i="5"/>
  <c r="E205" i="5"/>
  <c r="I205" i="5" s="1"/>
  <c r="A206" i="5"/>
  <c r="D205" i="5"/>
  <c r="H205" i="5" s="1"/>
  <c r="N66" i="5" l="1"/>
  <c r="R66" i="5" s="1"/>
  <c r="G189" i="5"/>
  <c r="C190" i="5" s="1"/>
  <c r="F205" i="5"/>
  <c r="A207" i="5"/>
  <c r="E206" i="5"/>
  <c r="I206" i="5" s="1"/>
  <c r="D206" i="5"/>
  <c r="H206" i="5" s="1"/>
  <c r="L66" i="5" l="1"/>
  <c r="Q66" i="5" s="1"/>
  <c r="G190" i="5"/>
  <c r="C191" i="5" s="1"/>
  <c r="F206" i="5"/>
  <c r="A208" i="5"/>
  <c r="E207" i="5"/>
  <c r="I207" i="5" s="1"/>
  <c r="D207" i="5"/>
  <c r="H207" i="5" s="1"/>
  <c r="O66" i="5" l="1"/>
  <c r="P66" i="5"/>
  <c r="K67" i="5" s="1"/>
  <c r="G191" i="5"/>
  <c r="C192" i="5" s="1"/>
  <c r="F207" i="5"/>
  <c r="E208" i="5"/>
  <c r="I208" i="5" s="1"/>
  <c r="A209" i="5"/>
  <c r="D208" i="5"/>
  <c r="H208" i="5" s="1"/>
  <c r="N67" i="5" l="1"/>
  <c r="R67" i="5" s="1"/>
  <c r="G192" i="5"/>
  <c r="C193" i="5" s="1"/>
  <c r="F208" i="5"/>
  <c r="D209" i="5"/>
  <c r="H209" i="5" s="1"/>
  <c r="E209" i="5"/>
  <c r="I209" i="5" s="1"/>
  <c r="A210" i="5"/>
  <c r="L67" i="5" l="1"/>
  <c r="Q67" i="5" s="1"/>
  <c r="G193" i="5"/>
  <c r="C194" i="5" s="1"/>
  <c r="F209" i="5"/>
  <c r="D210" i="5"/>
  <c r="H210" i="5" s="1"/>
  <c r="E210" i="5"/>
  <c r="I210" i="5" s="1"/>
  <c r="A211" i="5"/>
  <c r="O67" i="5" l="1"/>
  <c r="P67" i="5"/>
  <c r="K68" i="5" s="1"/>
  <c r="G194" i="5"/>
  <c r="C195" i="5" s="1"/>
  <c r="F210" i="5"/>
  <c r="A212" i="5"/>
  <c r="E211" i="5"/>
  <c r="I211" i="5" s="1"/>
  <c r="D211" i="5"/>
  <c r="H211" i="5" s="1"/>
  <c r="N68" i="5" l="1"/>
  <c r="R68" i="5" s="1"/>
  <c r="G195" i="5"/>
  <c r="C196" i="5" s="1"/>
  <c r="F211" i="5"/>
  <c r="E212" i="5"/>
  <c r="I212" i="5" s="1"/>
  <c r="A213" i="5"/>
  <c r="D212" i="5"/>
  <c r="H212" i="5" s="1"/>
  <c r="L68" i="5" l="1"/>
  <c r="Q68" i="5" s="1"/>
  <c r="G196" i="5"/>
  <c r="C197" i="5" s="1"/>
  <c r="F212" i="5"/>
  <c r="D213" i="5"/>
  <c r="H213" i="5" s="1"/>
  <c r="A214" i="5"/>
  <c r="E213" i="5"/>
  <c r="I213" i="5" s="1"/>
  <c r="O68" i="5" l="1"/>
  <c r="P68" i="5"/>
  <c r="K69" i="5" s="1"/>
  <c r="G197" i="5"/>
  <c r="C198" i="5" s="1"/>
  <c r="F213" i="5"/>
  <c r="A215" i="5"/>
  <c r="D214" i="5"/>
  <c r="H214" i="5" s="1"/>
  <c r="E214" i="5"/>
  <c r="I214" i="5" s="1"/>
  <c r="N69" i="5" l="1"/>
  <c r="R69" i="5" s="1"/>
  <c r="G198" i="5"/>
  <c r="C199" i="5" s="1"/>
  <c r="F214" i="5"/>
  <c r="A216" i="5"/>
  <c r="D215" i="5"/>
  <c r="H215" i="5" s="1"/>
  <c r="E215" i="5"/>
  <c r="I215" i="5" s="1"/>
  <c r="L69" i="5" l="1"/>
  <c r="Q69" i="5" s="1"/>
  <c r="G199" i="5"/>
  <c r="C200" i="5" s="1"/>
  <c r="F215" i="5"/>
  <c r="E216" i="5"/>
  <c r="I216" i="5" s="1"/>
  <c r="D216" i="5"/>
  <c r="H216" i="5" s="1"/>
  <c r="A217" i="5"/>
  <c r="O69" i="5" l="1"/>
  <c r="P69" i="5"/>
  <c r="K70" i="5" s="1"/>
  <c r="G200" i="5"/>
  <c r="C201" i="5" s="1"/>
  <c r="F216" i="5"/>
  <c r="A218" i="5"/>
  <c r="D217" i="5"/>
  <c r="H217" i="5" s="1"/>
  <c r="E217" i="5"/>
  <c r="I217" i="5" s="1"/>
  <c r="N70" i="5" l="1"/>
  <c r="R70" i="5" s="1"/>
  <c r="G201" i="5"/>
  <c r="C202" i="5" s="1"/>
  <c r="F217" i="5"/>
  <c r="E218" i="5"/>
  <c r="I218" i="5" s="1"/>
  <c r="A219" i="5"/>
  <c r="D218" i="5"/>
  <c r="H218" i="5" s="1"/>
  <c r="L70" i="5" l="1"/>
  <c r="Q70" i="5" s="1"/>
  <c r="G202" i="5"/>
  <c r="C203" i="5" s="1"/>
  <c r="F218" i="5"/>
  <c r="E219" i="5"/>
  <c r="I219" i="5" s="1"/>
  <c r="D219" i="5"/>
  <c r="H219" i="5" s="1"/>
  <c r="A220" i="5"/>
  <c r="O70" i="5" l="1"/>
  <c r="P70" i="5"/>
  <c r="K71" i="5" s="1"/>
  <c r="G203" i="5"/>
  <c r="C204" i="5" s="1"/>
  <c r="F219" i="5"/>
  <c r="D220" i="5"/>
  <c r="H220" i="5" s="1"/>
  <c r="E220" i="5"/>
  <c r="I220" i="5" s="1"/>
  <c r="A221" i="5"/>
  <c r="N71" i="5" l="1"/>
  <c r="R71" i="5" s="1"/>
  <c r="G204" i="5"/>
  <c r="C205" i="5" s="1"/>
  <c r="F220" i="5"/>
  <c r="E221" i="5"/>
  <c r="I221" i="5" s="1"/>
  <c r="D221" i="5"/>
  <c r="H221" i="5" s="1"/>
  <c r="A222" i="5"/>
  <c r="L71" i="5" l="1"/>
  <c r="Q71" i="5" s="1"/>
  <c r="G205" i="5"/>
  <c r="C206" i="5" s="1"/>
  <c r="F221" i="5"/>
  <c r="E222" i="5"/>
  <c r="I222" i="5" s="1"/>
  <c r="D222" i="5"/>
  <c r="H222" i="5" s="1"/>
  <c r="A223" i="5"/>
  <c r="O71" i="5" l="1"/>
  <c r="P71" i="5"/>
  <c r="K72" i="5" s="1"/>
  <c r="G206" i="5"/>
  <c r="C207" i="5" s="1"/>
  <c r="F222" i="5"/>
  <c r="A224" i="5"/>
  <c r="D223" i="5"/>
  <c r="H223" i="5" s="1"/>
  <c r="E223" i="5"/>
  <c r="I223" i="5" s="1"/>
  <c r="N72" i="5" l="1"/>
  <c r="R72" i="5" s="1"/>
  <c r="G207" i="5"/>
  <c r="C208" i="5" s="1"/>
  <c r="F223" i="5"/>
  <c r="E224" i="5"/>
  <c r="I224" i="5" s="1"/>
  <c r="A225" i="5"/>
  <c r="D224" i="5"/>
  <c r="H224" i="5" s="1"/>
  <c r="L72" i="5" l="1"/>
  <c r="Q72" i="5" s="1"/>
  <c r="G208" i="5"/>
  <c r="C209" i="5" s="1"/>
  <c r="F224" i="5"/>
  <c r="A226" i="5"/>
  <c r="D225" i="5"/>
  <c r="H225" i="5" s="1"/>
  <c r="E225" i="5"/>
  <c r="I225" i="5" s="1"/>
  <c r="O72" i="5" l="1"/>
  <c r="P72" i="5"/>
  <c r="K73" i="5" s="1"/>
  <c r="G209" i="5"/>
  <c r="C210" i="5" s="1"/>
  <c r="F225" i="5"/>
  <c r="D226" i="5"/>
  <c r="H226" i="5" s="1"/>
  <c r="E226" i="5"/>
  <c r="I226" i="5" s="1"/>
  <c r="A227" i="5"/>
  <c r="N73" i="5" l="1"/>
  <c r="R73" i="5" s="1"/>
  <c r="G210" i="5"/>
  <c r="C211" i="5" s="1"/>
  <c r="F226" i="5"/>
  <c r="E227" i="5"/>
  <c r="I227" i="5" s="1"/>
  <c r="A228" i="5"/>
  <c r="D227" i="5"/>
  <c r="H227" i="5" s="1"/>
  <c r="L73" i="5" l="1"/>
  <c r="Q73" i="5" s="1"/>
  <c r="G211" i="5"/>
  <c r="C212" i="5" s="1"/>
  <c r="F227" i="5"/>
  <c r="D228" i="5"/>
  <c r="H228" i="5" s="1"/>
  <c r="E228" i="5"/>
  <c r="I228" i="5" s="1"/>
  <c r="A229" i="5"/>
  <c r="O73" i="5" l="1"/>
  <c r="P73" i="5"/>
  <c r="K74" i="5" s="1"/>
  <c r="G212" i="5"/>
  <c r="C213" i="5" s="1"/>
  <c r="F228" i="5"/>
  <c r="E229" i="5"/>
  <c r="I229" i="5" s="1"/>
  <c r="A230" i="5"/>
  <c r="D229" i="5"/>
  <c r="H229" i="5" s="1"/>
  <c r="N74" i="5" l="1"/>
  <c r="R74" i="5" s="1"/>
  <c r="G213" i="5"/>
  <c r="C214" i="5" s="1"/>
  <c r="F229" i="5"/>
  <c r="A231" i="5"/>
  <c r="D230" i="5"/>
  <c r="H230" i="5" s="1"/>
  <c r="E230" i="5"/>
  <c r="I230" i="5" s="1"/>
  <c r="L74" i="5" l="1"/>
  <c r="Q74" i="5" s="1"/>
  <c r="G214" i="5"/>
  <c r="C215" i="5" s="1"/>
  <c r="F230" i="5"/>
  <c r="E231" i="5"/>
  <c r="I231" i="5" s="1"/>
  <c r="A232" i="5"/>
  <c r="D231" i="5"/>
  <c r="H231" i="5" s="1"/>
  <c r="O74" i="5" l="1"/>
  <c r="P74" i="5"/>
  <c r="K75" i="5" s="1"/>
  <c r="G215" i="5"/>
  <c r="C216" i="5" s="1"/>
  <c r="F231" i="5"/>
  <c r="E232" i="5"/>
  <c r="I232" i="5" s="1"/>
  <c r="A233" i="5"/>
  <c r="D232" i="5"/>
  <c r="H232" i="5" s="1"/>
  <c r="N75" i="5" l="1"/>
  <c r="R75" i="5" s="1"/>
  <c r="G216" i="5"/>
  <c r="C217" i="5" s="1"/>
  <c r="F232" i="5"/>
  <c r="E233" i="5"/>
  <c r="I233" i="5" s="1"/>
  <c r="A234" i="5"/>
  <c r="D233" i="5"/>
  <c r="H233" i="5" s="1"/>
  <c r="L75" i="5" l="1"/>
  <c r="Q75" i="5" s="1"/>
  <c r="G217" i="5"/>
  <c r="C218" i="5" s="1"/>
  <c r="F233" i="5"/>
  <c r="A235" i="5"/>
  <c r="D234" i="5"/>
  <c r="H234" i="5" s="1"/>
  <c r="E234" i="5"/>
  <c r="I234" i="5" s="1"/>
  <c r="O75" i="5" l="1"/>
  <c r="P75" i="5"/>
  <c r="K76" i="5" s="1"/>
  <c r="G218" i="5"/>
  <c r="C219" i="5" s="1"/>
  <c r="F234" i="5"/>
  <c r="D235" i="5"/>
  <c r="H235" i="5" s="1"/>
  <c r="E235" i="5"/>
  <c r="I235" i="5" s="1"/>
  <c r="A236" i="5"/>
  <c r="N76" i="5" l="1"/>
  <c r="R76" i="5" s="1"/>
  <c r="G219" i="5"/>
  <c r="C220" i="5" s="1"/>
  <c r="F235" i="5"/>
  <c r="D236" i="5"/>
  <c r="H236" i="5" s="1"/>
  <c r="E236" i="5"/>
  <c r="I236" i="5" s="1"/>
  <c r="A237" i="5"/>
  <c r="L76" i="5" l="1"/>
  <c r="Q76" i="5" s="1"/>
  <c r="G220" i="5"/>
  <c r="C221" i="5" s="1"/>
  <c r="F236" i="5"/>
  <c r="E237" i="5"/>
  <c r="I237" i="5" s="1"/>
  <c r="A238" i="5"/>
  <c r="D237" i="5"/>
  <c r="H237" i="5" s="1"/>
  <c r="O76" i="5" l="1"/>
  <c r="P76" i="5"/>
  <c r="K77" i="5" s="1"/>
  <c r="G221" i="5"/>
  <c r="C222" i="5" s="1"/>
  <c r="F237" i="5"/>
  <c r="E238" i="5"/>
  <c r="I238" i="5" s="1"/>
  <c r="A239" i="5"/>
  <c r="D238" i="5"/>
  <c r="H238" i="5" s="1"/>
  <c r="N77" i="5" l="1"/>
  <c r="R77" i="5" s="1"/>
  <c r="G222" i="5"/>
  <c r="C223" i="5" s="1"/>
  <c r="F238" i="5"/>
  <c r="D239" i="5"/>
  <c r="H239" i="5" s="1"/>
  <c r="A240" i="5"/>
  <c r="E239" i="5"/>
  <c r="I239" i="5" s="1"/>
  <c r="L77" i="5" l="1"/>
  <c r="Q77" i="5" s="1"/>
  <c r="G223" i="5"/>
  <c r="C224" i="5" s="1"/>
  <c r="F239" i="5"/>
  <c r="E240" i="5"/>
  <c r="I240" i="5" s="1"/>
  <c r="D240" i="5"/>
  <c r="H240" i="5" s="1"/>
  <c r="A241" i="5"/>
  <c r="O77" i="5" l="1"/>
  <c r="P77" i="5"/>
  <c r="K78" i="5" s="1"/>
  <c r="G224" i="5"/>
  <c r="C225" i="5" s="1"/>
  <c r="F240" i="5"/>
  <c r="D241" i="5"/>
  <c r="H241" i="5" s="1"/>
  <c r="A242" i="5"/>
  <c r="E241" i="5"/>
  <c r="I241" i="5" s="1"/>
  <c r="N78" i="5" l="1"/>
  <c r="R78" i="5" s="1"/>
  <c r="G225" i="5"/>
  <c r="C226" i="5" s="1"/>
  <c r="F241" i="5"/>
  <c r="E242" i="5"/>
  <c r="I242" i="5" s="1"/>
  <c r="D242" i="5"/>
  <c r="H242" i="5" s="1"/>
  <c r="A243" i="5"/>
  <c r="L78" i="5" l="1"/>
  <c r="Q78" i="5" s="1"/>
  <c r="G226" i="5"/>
  <c r="C227" i="5" s="1"/>
  <c r="F242" i="5"/>
  <c r="E243" i="5"/>
  <c r="I243" i="5" s="1"/>
  <c r="D243" i="5"/>
  <c r="H243" i="5" s="1"/>
  <c r="A244" i="5"/>
  <c r="O78" i="5" l="1"/>
  <c r="P78" i="5"/>
  <c r="K79" i="5" s="1"/>
  <c r="G227" i="5"/>
  <c r="C228" i="5" s="1"/>
  <c r="F243" i="5"/>
  <c r="A245" i="5"/>
  <c r="E244" i="5"/>
  <c r="I244" i="5" s="1"/>
  <c r="D244" i="5"/>
  <c r="H244" i="5" s="1"/>
  <c r="N79" i="5" l="1"/>
  <c r="R79" i="5" s="1"/>
  <c r="G228" i="5"/>
  <c r="C229" i="5" s="1"/>
  <c r="F244" i="5"/>
  <c r="D245" i="5"/>
  <c r="H245" i="5" s="1"/>
  <c r="E245" i="5"/>
  <c r="I245" i="5" s="1"/>
  <c r="A246" i="5"/>
  <c r="L79" i="5" l="1"/>
  <c r="Q79" i="5" s="1"/>
  <c r="G229" i="5"/>
  <c r="C230" i="5" s="1"/>
  <c r="F245" i="5"/>
  <c r="E246" i="5"/>
  <c r="I246" i="5" s="1"/>
  <c r="D246" i="5"/>
  <c r="H246" i="5" s="1"/>
  <c r="A247" i="5"/>
  <c r="O79" i="5" l="1"/>
  <c r="P79" i="5"/>
  <c r="K80" i="5" s="1"/>
  <c r="G230" i="5"/>
  <c r="C231" i="5" s="1"/>
  <c r="F246" i="5"/>
  <c r="D247" i="5"/>
  <c r="H247" i="5" s="1"/>
  <c r="A248" i="5"/>
  <c r="E247" i="5"/>
  <c r="I247" i="5" s="1"/>
  <c r="N80" i="5" l="1"/>
  <c r="R80" i="5" s="1"/>
  <c r="G231" i="5"/>
  <c r="C232" i="5" s="1"/>
  <c r="F247" i="5"/>
  <c r="E248" i="5"/>
  <c r="I248" i="5" s="1"/>
  <c r="A249" i="5"/>
  <c r="D248" i="5"/>
  <c r="H248" i="5" s="1"/>
  <c r="L80" i="5" l="1"/>
  <c r="Q80" i="5" s="1"/>
  <c r="G232" i="5"/>
  <c r="C233" i="5" s="1"/>
  <c r="F248" i="5"/>
  <c r="D249" i="5"/>
  <c r="H249" i="5" s="1"/>
  <c r="E249" i="5"/>
  <c r="I249" i="5" s="1"/>
  <c r="A250" i="5"/>
  <c r="O80" i="5" l="1"/>
  <c r="P80" i="5"/>
  <c r="K81" i="5" s="1"/>
  <c r="G233" i="5"/>
  <c r="C234" i="5" s="1"/>
  <c r="F249" i="5"/>
  <c r="A251" i="5"/>
  <c r="D250" i="5"/>
  <c r="H250" i="5" s="1"/>
  <c r="E250" i="5"/>
  <c r="I250" i="5" s="1"/>
  <c r="N81" i="5" l="1"/>
  <c r="R81" i="5" s="1"/>
  <c r="G234" i="5"/>
  <c r="C235" i="5" s="1"/>
  <c r="F250" i="5"/>
  <c r="E251" i="5"/>
  <c r="I251" i="5" s="1"/>
  <c r="D251" i="5"/>
  <c r="H251" i="5" s="1"/>
  <c r="A252" i="5"/>
  <c r="L81" i="5" l="1"/>
  <c r="Q81" i="5" s="1"/>
  <c r="G235" i="5"/>
  <c r="C236" i="5" s="1"/>
  <c r="F251" i="5"/>
  <c r="E252" i="5"/>
  <c r="I252" i="5" s="1"/>
  <c r="A253" i="5"/>
  <c r="D252" i="5"/>
  <c r="H252" i="5" s="1"/>
  <c r="O81" i="5" l="1"/>
  <c r="P81" i="5"/>
  <c r="K82" i="5" s="1"/>
  <c r="G236" i="5"/>
  <c r="C237" i="5" s="1"/>
  <c r="F252" i="5"/>
  <c r="A254" i="5"/>
  <c r="D253" i="5"/>
  <c r="H253" i="5" s="1"/>
  <c r="E253" i="5"/>
  <c r="I253" i="5" s="1"/>
  <c r="N82" i="5" l="1"/>
  <c r="R82" i="5" s="1"/>
  <c r="G237" i="5"/>
  <c r="C238" i="5" s="1"/>
  <c r="F253" i="5"/>
  <c r="E254" i="5"/>
  <c r="I254" i="5" s="1"/>
  <c r="D254" i="5"/>
  <c r="H254" i="5" s="1"/>
  <c r="A255" i="5"/>
  <c r="L82" i="5" l="1"/>
  <c r="Q82" i="5" s="1"/>
  <c r="G238" i="5"/>
  <c r="C239" i="5" s="1"/>
  <c r="F254" i="5"/>
  <c r="D255" i="5"/>
  <c r="H255" i="5" s="1"/>
  <c r="E255" i="5"/>
  <c r="I255" i="5" s="1"/>
  <c r="A256" i="5"/>
  <c r="O82" i="5" l="1"/>
  <c r="P82" i="5"/>
  <c r="K83" i="5" s="1"/>
  <c r="G239" i="5"/>
  <c r="C240" i="5" s="1"/>
  <c r="F255" i="5"/>
  <c r="E256" i="5"/>
  <c r="I256" i="5" s="1"/>
  <c r="A257" i="5"/>
  <c r="D256" i="5"/>
  <c r="H256" i="5" s="1"/>
  <c r="N83" i="5" l="1"/>
  <c r="R83" i="5" s="1"/>
  <c r="G240" i="5"/>
  <c r="C241" i="5" s="1"/>
  <c r="F256" i="5"/>
  <c r="D257" i="5"/>
  <c r="H257" i="5" s="1"/>
  <c r="E257" i="5"/>
  <c r="I257" i="5" s="1"/>
  <c r="A258" i="5"/>
  <c r="L83" i="5" l="1"/>
  <c r="Q83" i="5" s="1"/>
  <c r="G241" i="5"/>
  <c r="C242" i="5" s="1"/>
  <c r="F257" i="5"/>
  <c r="E258" i="5"/>
  <c r="I258" i="5" s="1"/>
  <c r="D258" i="5"/>
  <c r="H258" i="5" s="1"/>
  <c r="A259" i="5"/>
  <c r="O83" i="5" l="1"/>
  <c r="P83" i="5"/>
  <c r="K84" i="5" s="1"/>
  <c r="G242" i="5"/>
  <c r="C243" i="5" s="1"/>
  <c r="F258" i="5"/>
  <c r="E259" i="5"/>
  <c r="I259" i="5" s="1"/>
  <c r="D259" i="5"/>
  <c r="H259" i="5" s="1"/>
  <c r="A260" i="5"/>
  <c r="N84" i="5" l="1"/>
  <c r="R84" i="5" s="1"/>
  <c r="G243" i="5"/>
  <c r="C244" i="5" s="1"/>
  <c r="F259" i="5"/>
  <c r="E260" i="5"/>
  <c r="I260" i="5" s="1"/>
  <c r="A261" i="5"/>
  <c r="D260" i="5"/>
  <c r="H260" i="5" s="1"/>
  <c r="L84" i="5" l="1"/>
  <c r="Q84" i="5" s="1"/>
  <c r="G244" i="5"/>
  <c r="C245" i="5" s="1"/>
  <c r="F260" i="5"/>
  <c r="D261" i="5"/>
  <c r="H261" i="5" s="1"/>
  <c r="A262" i="5"/>
  <c r="E261" i="5"/>
  <c r="I261" i="5" s="1"/>
  <c r="O84" i="5" l="1"/>
  <c r="P84" i="5"/>
  <c r="K85" i="5" s="1"/>
  <c r="G245" i="5"/>
  <c r="C246" i="5" s="1"/>
  <c r="F261" i="5"/>
  <c r="E262" i="5"/>
  <c r="I262" i="5" s="1"/>
  <c r="D262" i="5"/>
  <c r="H262" i="5" s="1"/>
  <c r="A263" i="5"/>
  <c r="N85" i="5" l="1"/>
  <c r="R85" i="5" s="1"/>
  <c r="G246" i="5"/>
  <c r="C247" i="5" s="1"/>
  <c r="F262" i="5"/>
  <c r="D263" i="5"/>
  <c r="H263" i="5" s="1"/>
  <c r="E263" i="5"/>
  <c r="I263" i="5" s="1"/>
  <c r="A264" i="5"/>
  <c r="L85" i="5" l="1"/>
  <c r="Q85" i="5" s="1"/>
  <c r="G247" i="5"/>
  <c r="C248" i="5" s="1"/>
  <c r="F263" i="5"/>
  <c r="A265" i="5"/>
  <c r="E264" i="5"/>
  <c r="I264" i="5" s="1"/>
  <c r="D264" i="5"/>
  <c r="H264" i="5" s="1"/>
  <c r="O85" i="5" l="1"/>
  <c r="P85" i="5"/>
  <c r="K86" i="5" s="1"/>
  <c r="G248" i="5"/>
  <c r="C249" i="5" s="1"/>
  <c r="F264" i="5"/>
  <c r="E265" i="5"/>
  <c r="I265" i="5" s="1"/>
  <c r="A266" i="5"/>
  <c r="D265" i="5"/>
  <c r="H265" i="5" s="1"/>
  <c r="N86" i="5" l="1"/>
  <c r="R86" i="5" s="1"/>
  <c r="G249" i="5"/>
  <c r="C250" i="5" s="1"/>
  <c r="F265" i="5"/>
  <c r="E266" i="5"/>
  <c r="I266" i="5" s="1"/>
  <c r="A267" i="5"/>
  <c r="D266" i="5"/>
  <c r="H266" i="5" s="1"/>
  <c r="L86" i="5" l="1"/>
  <c r="Q86" i="5" s="1"/>
  <c r="G250" i="5"/>
  <c r="C251" i="5" s="1"/>
  <c r="F266" i="5"/>
  <c r="E267" i="5"/>
  <c r="I267" i="5" s="1"/>
  <c r="A268" i="5"/>
  <c r="D267" i="5"/>
  <c r="H267" i="5" s="1"/>
  <c r="O86" i="5" l="1"/>
  <c r="P86" i="5"/>
  <c r="K87" i="5" s="1"/>
  <c r="G251" i="5"/>
  <c r="C252" i="5" s="1"/>
  <c r="F267" i="5"/>
  <c r="E268" i="5"/>
  <c r="I268" i="5" s="1"/>
  <c r="D268" i="5"/>
  <c r="H268" i="5" s="1"/>
  <c r="A269" i="5"/>
  <c r="N87" i="5" l="1"/>
  <c r="R87" i="5" s="1"/>
  <c r="G252" i="5"/>
  <c r="C253" i="5" s="1"/>
  <c r="F268" i="5"/>
  <c r="A270" i="5"/>
  <c r="D269" i="5"/>
  <c r="H269" i="5" s="1"/>
  <c r="E269" i="5"/>
  <c r="I269" i="5" s="1"/>
  <c r="L87" i="5" l="1"/>
  <c r="Q87" i="5" s="1"/>
  <c r="G253" i="5"/>
  <c r="C254" i="5" s="1"/>
  <c r="F269" i="5"/>
  <c r="E270" i="5"/>
  <c r="I270" i="5" s="1"/>
  <c r="A271" i="5"/>
  <c r="D270" i="5"/>
  <c r="H270" i="5" s="1"/>
  <c r="O87" i="5" l="1"/>
  <c r="P87" i="5"/>
  <c r="K88" i="5" s="1"/>
  <c r="G254" i="5"/>
  <c r="C255" i="5" s="1"/>
  <c r="F270" i="5"/>
  <c r="D271" i="5"/>
  <c r="H271" i="5" s="1"/>
  <c r="E271" i="5"/>
  <c r="I271" i="5" s="1"/>
  <c r="A272" i="5"/>
  <c r="N88" i="5" l="1"/>
  <c r="R88" i="5" s="1"/>
  <c r="G255" i="5"/>
  <c r="C256" i="5" s="1"/>
  <c r="F271" i="5"/>
  <c r="E272" i="5"/>
  <c r="I272" i="5" s="1"/>
  <c r="A273" i="5"/>
  <c r="D272" i="5"/>
  <c r="H272" i="5" s="1"/>
  <c r="L88" i="5" l="1"/>
  <c r="Q88" i="5" s="1"/>
  <c r="G256" i="5"/>
  <c r="C257" i="5" s="1"/>
  <c r="F272" i="5"/>
  <c r="A274" i="5"/>
  <c r="E273" i="5"/>
  <c r="I273" i="5" s="1"/>
  <c r="D273" i="5"/>
  <c r="H273" i="5" s="1"/>
  <c r="O88" i="5" l="1"/>
  <c r="P88" i="5"/>
  <c r="K89" i="5" s="1"/>
  <c r="G257" i="5"/>
  <c r="C258" i="5" s="1"/>
  <c r="F273" i="5"/>
  <c r="E274" i="5"/>
  <c r="I274" i="5" s="1"/>
  <c r="D274" i="5"/>
  <c r="H274" i="5" s="1"/>
  <c r="A275" i="5"/>
  <c r="N89" i="5" l="1"/>
  <c r="R89" i="5" s="1"/>
  <c r="G258" i="5"/>
  <c r="C259" i="5" s="1"/>
  <c r="F274" i="5"/>
  <c r="E275" i="5"/>
  <c r="I275" i="5" s="1"/>
  <c r="D275" i="5"/>
  <c r="H275" i="5" s="1"/>
  <c r="A276" i="5"/>
  <c r="L89" i="5" l="1"/>
  <c r="Q89" i="5" s="1"/>
  <c r="G259" i="5"/>
  <c r="C260" i="5" s="1"/>
  <c r="F275" i="5"/>
  <c r="E276" i="5"/>
  <c r="I276" i="5" s="1"/>
  <c r="D276" i="5"/>
  <c r="H276" i="5" s="1"/>
  <c r="A277" i="5"/>
  <c r="O89" i="5" l="1"/>
  <c r="P89" i="5"/>
  <c r="K90" i="5" s="1"/>
  <c r="G260" i="5"/>
  <c r="C261" i="5" s="1"/>
  <c r="F276" i="5"/>
  <c r="A278" i="5"/>
  <c r="E277" i="5"/>
  <c r="I277" i="5" s="1"/>
  <c r="D277" i="5"/>
  <c r="H277" i="5" s="1"/>
  <c r="N90" i="5" l="1"/>
  <c r="R90" i="5" s="1"/>
  <c r="G261" i="5"/>
  <c r="C262" i="5" s="1"/>
  <c r="F277" i="5"/>
  <c r="E278" i="5"/>
  <c r="I278" i="5" s="1"/>
  <c r="D278" i="5"/>
  <c r="H278" i="5" s="1"/>
  <c r="A279" i="5"/>
  <c r="L90" i="5" l="1"/>
  <c r="Q90" i="5" s="1"/>
  <c r="G262" i="5"/>
  <c r="C263" i="5" s="1"/>
  <c r="F278" i="5"/>
  <c r="E279" i="5"/>
  <c r="I279" i="5" s="1"/>
  <c r="D279" i="5"/>
  <c r="H279" i="5" s="1"/>
  <c r="A280" i="5"/>
  <c r="O90" i="5" l="1"/>
  <c r="P90" i="5"/>
  <c r="K91" i="5" s="1"/>
  <c r="G263" i="5"/>
  <c r="C264" i="5" s="1"/>
  <c r="F279" i="5"/>
  <c r="A281" i="5"/>
  <c r="E280" i="5"/>
  <c r="I280" i="5" s="1"/>
  <c r="D280" i="5"/>
  <c r="H280" i="5" s="1"/>
  <c r="N91" i="5" l="1"/>
  <c r="R91" i="5" s="1"/>
  <c r="G264" i="5"/>
  <c r="C265" i="5" s="1"/>
  <c r="F280" i="5"/>
  <c r="A282" i="5"/>
  <c r="D281" i="5"/>
  <c r="H281" i="5" s="1"/>
  <c r="E281" i="5"/>
  <c r="I281" i="5" s="1"/>
  <c r="L91" i="5" l="1"/>
  <c r="Q91" i="5" s="1"/>
  <c r="G265" i="5"/>
  <c r="C266" i="5" s="1"/>
  <c r="F281" i="5"/>
  <c r="E282" i="5"/>
  <c r="I282" i="5" s="1"/>
  <c r="A283" i="5"/>
  <c r="D282" i="5"/>
  <c r="H282" i="5" s="1"/>
  <c r="O91" i="5" l="1"/>
  <c r="P91" i="5"/>
  <c r="K92" i="5" s="1"/>
  <c r="G266" i="5"/>
  <c r="C267" i="5" s="1"/>
  <c r="F282" i="5"/>
  <c r="A284" i="5"/>
  <c r="E283" i="5"/>
  <c r="I283" i="5" s="1"/>
  <c r="D283" i="5"/>
  <c r="H283" i="5" s="1"/>
  <c r="N92" i="5" l="1"/>
  <c r="R92" i="5" s="1"/>
  <c r="G267" i="5"/>
  <c r="C268" i="5" s="1"/>
  <c r="F283" i="5"/>
  <c r="D284" i="5"/>
  <c r="H284" i="5" s="1"/>
  <c r="A285" i="5"/>
  <c r="E284" i="5"/>
  <c r="I284" i="5" s="1"/>
  <c r="L92" i="5" l="1"/>
  <c r="Q92" i="5" s="1"/>
  <c r="G268" i="5"/>
  <c r="C269" i="5" s="1"/>
  <c r="F284" i="5"/>
  <c r="A286" i="5"/>
  <c r="E285" i="5"/>
  <c r="I285" i="5" s="1"/>
  <c r="D285" i="5"/>
  <c r="H285" i="5" s="1"/>
  <c r="O92" i="5" l="1"/>
  <c r="P92" i="5"/>
  <c r="K93" i="5" s="1"/>
  <c r="G269" i="5"/>
  <c r="C270" i="5" s="1"/>
  <c r="F285" i="5"/>
  <c r="A287" i="5"/>
  <c r="E286" i="5"/>
  <c r="I286" i="5" s="1"/>
  <c r="D286" i="5"/>
  <c r="H286" i="5" s="1"/>
  <c r="N93" i="5" l="1"/>
  <c r="R93" i="5" s="1"/>
  <c r="G270" i="5"/>
  <c r="C271" i="5" s="1"/>
  <c r="F286" i="5"/>
  <c r="D287" i="5"/>
  <c r="H287" i="5" s="1"/>
  <c r="A288" i="5"/>
  <c r="E287" i="5"/>
  <c r="I287" i="5" s="1"/>
  <c r="L93" i="5" l="1"/>
  <c r="Q93" i="5" s="1"/>
  <c r="G271" i="5"/>
  <c r="C272" i="5" s="1"/>
  <c r="F287" i="5"/>
  <c r="E288" i="5"/>
  <c r="I288" i="5" s="1"/>
  <c r="A289" i="5"/>
  <c r="D288" i="5"/>
  <c r="H288" i="5" s="1"/>
  <c r="O93" i="5" l="1"/>
  <c r="P93" i="5"/>
  <c r="K94" i="5" s="1"/>
  <c r="G272" i="5"/>
  <c r="C273" i="5" s="1"/>
  <c r="F288" i="5"/>
  <c r="A290" i="5"/>
  <c r="E289" i="5"/>
  <c r="I289" i="5" s="1"/>
  <c r="D289" i="5"/>
  <c r="H289" i="5" s="1"/>
  <c r="N94" i="5" l="1"/>
  <c r="R94" i="5" s="1"/>
  <c r="G273" i="5"/>
  <c r="C274" i="5" s="1"/>
  <c r="F289" i="5"/>
  <c r="E290" i="5"/>
  <c r="I290" i="5" s="1"/>
  <c r="D290" i="5"/>
  <c r="H290" i="5" s="1"/>
  <c r="A291" i="5"/>
  <c r="L94" i="5" l="1"/>
  <c r="Q94" i="5" s="1"/>
  <c r="G274" i="5"/>
  <c r="C275" i="5" s="1"/>
  <c r="F290" i="5"/>
  <c r="D291" i="5"/>
  <c r="H291" i="5" s="1"/>
  <c r="E291" i="5"/>
  <c r="I291" i="5" s="1"/>
  <c r="A292" i="5"/>
  <c r="O94" i="5" l="1"/>
  <c r="P94" i="5"/>
  <c r="K95" i="5" s="1"/>
  <c r="G275" i="5"/>
  <c r="C276" i="5" s="1"/>
  <c r="F291" i="5"/>
  <c r="D292" i="5"/>
  <c r="H292" i="5" s="1"/>
  <c r="A293" i="5"/>
  <c r="E292" i="5"/>
  <c r="I292" i="5" s="1"/>
  <c r="N95" i="5" l="1"/>
  <c r="R95" i="5" s="1"/>
  <c r="G276" i="5"/>
  <c r="C277" i="5" s="1"/>
  <c r="F292" i="5"/>
  <c r="A294" i="5"/>
  <c r="E293" i="5"/>
  <c r="I293" i="5" s="1"/>
  <c r="D293" i="5"/>
  <c r="H293" i="5" s="1"/>
  <c r="L95" i="5" l="1"/>
  <c r="Q95" i="5" s="1"/>
  <c r="G277" i="5"/>
  <c r="C278" i="5" s="1"/>
  <c r="F293" i="5"/>
  <c r="E294" i="5"/>
  <c r="I294" i="5" s="1"/>
  <c r="A295" i="5"/>
  <c r="D294" i="5"/>
  <c r="H294" i="5" s="1"/>
  <c r="O95" i="5" l="1"/>
  <c r="P95" i="5"/>
  <c r="K96" i="5" s="1"/>
  <c r="G278" i="5"/>
  <c r="C279" i="5" s="1"/>
  <c r="F294" i="5"/>
  <c r="E295" i="5"/>
  <c r="I295" i="5" s="1"/>
  <c r="A296" i="5"/>
  <c r="D295" i="5"/>
  <c r="H295" i="5" s="1"/>
  <c r="N96" i="5" l="1"/>
  <c r="R96" i="5" s="1"/>
  <c r="G279" i="5"/>
  <c r="C280" i="5" s="1"/>
  <c r="F295" i="5"/>
  <c r="A297" i="5"/>
  <c r="E296" i="5"/>
  <c r="I296" i="5" s="1"/>
  <c r="D296" i="5"/>
  <c r="H296" i="5" s="1"/>
  <c r="L96" i="5" l="1"/>
  <c r="Q96" i="5" s="1"/>
  <c r="G280" i="5"/>
  <c r="C281" i="5" s="1"/>
  <c r="F296" i="5"/>
  <c r="D297" i="5"/>
  <c r="H297" i="5" s="1"/>
  <c r="E297" i="5"/>
  <c r="I297" i="5" s="1"/>
  <c r="A298" i="5"/>
  <c r="O96" i="5" l="1"/>
  <c r="P96" i="5"/>
  <c r="K97" i="5" s="1"/>
  <c r="G281" i="5"/>
  <c r="C282" i="5" s="1"/>
  <c r="F297" i="5"/>
  <c r="D298" i="5"/>
  <c r="H298" i="5" s="1"/>
  <c r="A299" i="5"/>
  <c r="E298" i="5"/>
  <c r="I298" i="5" s="1"/>
  <c r="N97" i="5" l="1"/>
  <c r="R97" i="5" s="1"/>
  <c r="G282" i="5"/>
  <c r="C283" i="5" s="1"/>
  <c r="F298" i="5"/>
  <c r="D299" i="5"/>
  <c r="H299" i="5" s="1"/>
  <c r="E299" i="5"/>
  <c r="I299" i="5" s="1"/>
  <c r="A300" i="5"/>
  <c r="L97" i="5" l="1"/>
  <c r="Q97" i="5" s="1"/>
  <c r="G283" i="5"/>
  <c r="C284" i="5" s="1"/>
  <c r="F299" i="5"/>
  <c r="E300" i="5"/>
  <c r="I300" i="5" s="1"/>
  <c r="A301" i="5"/>
  <c r="D300" i="5"/>
  <c r="H300" i="5" s="1"/>
  <c r="O97" i="5" l="1"/>
  <c r="P97" i="5"/>
  <c r="K98" i="5" s="1"/>
  <c r="G284" i="5"/>
  <c r="C285" i="5" s="1"/>
  <c r="F300" i="5"/>
  <c r="D301" i="5"/>
  <c r="H301" i="5" s="1"/>
  <c r="A302" i="5"/>
  <c r="E301" i="5"/>
  <c r="I301" i="5" s="1"/>
  <c r="N98" i="5" l="1"/>
  <c r="R98" i="5" s="1"/>
  <c r="G285" i="5"/>
  <c r="C286" i="5" s="1"/>
  <c r="F301" i="5"/>
  <c r="A303" i="5"/>
  <c r="D302" i="5"/>
  <c r="H302" i="5" s="1"/>
  <c r="E302" i="5"/>
  <c r="I302" i="5" s="1"/>
  <c r="L98" i="5" l="1"/>
  <c r="Q98" i="5" s="1"/>
  <c r="G286" i="5"/>
  <c r="C287" i="5" s="1"/>
  <c r="F302" i="5"/>
  <c r="D303" i="5"/>
  <c r="H303" i="5" s="1"/>
  <c r="E303" i="5"/>
  <c r="I303" i="5" s="1"/>
  <c r="A304" i="5"/>
  <c r="O98" i="5" l="1"/>
  <c r="P98" i="5"/>
  <c r="K99" i="5" s="1"/>
  <c r="G287" i="5"/>
  <c r="C288" i="5" s="1"/>
  <c r="F303" i="5"/>
  <c r="E304" i="5"/>
  <c r="I304" i="5" s="1"/>
  <c r="D304" i="5"/>
  <c r="H304" i="5" s="1"/>
  <c r="A305" i="5"/>
  <c r="N99" i="5" l="1"/>
  <c r="R99" i="5" s="1"/>
  <c r="G288" i="5"/>
  <c r="C289" i="5" s="1"/>
  <c r="F304" i="5"/>
  <c r="A306" i="5"/>
  <c r="D305" i="5"/>
  <c r="H305" i="5" s="1"/>
  <c r="E305" i="5"/>
  <c r="I305" i="5" s="1"/>
  <c r="L99" i="5" l="1"/>
  <c r="Q99" i="5" s="1"/>
  <c r="G289" i="5"/>
  <c r="C290" i="5" s="1"/>
  <c r="F305" i="5"/>
  <c r="E306" i="5"/>
  <c r="I306" i="5" s="1"/>
  <c r="A307" i="5"/>
  <c r="D306" i="5"/>
  <c r="H306" i="5" s="1"/>
  <c r="O99" i="5" l="1"/>
  <c r="P99" i="5"/>
  <c r="K100" i="5" s="1"/>
  <c r="G290" i="5"/>
  <c r="C291" i="5" s="1"/>
  <c r="F306" i="5"/>
  <c r="E307" i="5"/>
  <c r="I307" i="5" s="1"/>
  <c r="A308" i="5"/>
  <c r="D307" i="5"/>
  <c r="H307" i="5" s="1"/>
  <c r="N100" i="5" l="1"/>
  <c r="R100" i="5" s="1"/>
  <c r="G291" i="5"/>
  <c r="C292" i="5" s="1"/>
  <c r="F307" i="5"/>
  <c r="E308" i="5"/>
  <c r="I308" i="5" s="1"/>
  <c r="A309" i="5"/>
  <c r="D308" i="5"/>
  <c r="H308" i="5" s="1"/>
  <c r="L100" i="5" l="1"/>
  <c r="Q100" i="5" s="1"/>
  <c r="G292" i="5"/>
  <c r="C293" i="5" s="1"/>
  <c r="F308" i="5"/>
  <c r="D309" i="5"/>
  <c r="H309" i="5" s="1"/>
  <c r="A310" i="5"/>
  <c r="E309" i="5"/>
  <c r="I309" i="5" s="1"/>
  <c r="O100" i="5" l="1"/>
  <c r="P100" i="5"/>
  <c r="K101" i="5" s="1"/>
  <c r="G293" i="5"/>
  <c r="C294" i="5" s="1"/>
  <c r="F309" i="5"/>
  <c r="A311" i="5"/>
  <c r="E310" i="5"/>
  <c r="I310" i="5" s="1"/>
  <c r="D310" i="5"/>
  <c r="H310" i="5" s="1"/>
  <c r="N101" i="5" l="1"/>
  <c r="R101" i="5" s="1"/>
  <c r="G294" i="5"/>
  <c r="C295" i="5" s="1"/>
  <c r="F310" i="5"/>
  <c r="D311" i="5"/>
  <c r="H311" i="5" s="1"/>
  <c r="A312" i="5"/>
  <c r="E311" i="5"/>
  <c r="I311" i="5" s="1"/>
  <c r="L101" i="5" l="1"/>
  <c r="Q101" i="5" s="1"/>
  <c r="G295" i="5"/>
  <c r="C296" i="5" s="1"/>
  <c r="F311" i="5"/>
  <c r="E312" i="5"/>
  <c r="I312" i="5" s="1"/>
  <c r="D312" i="5"/>
  <c r="H312" i="5" s="1"/>
  <c r="A313" i="5"/>
  <c r="O101" i="5" l="1"/>
  <c r="P101" i="5"/>
  <c r="K102" i="5" s="1"/>
  <c r="G296" i="5"/>
  <c r="C297" i="5" s="1"/>
  <c r="F312" i="5"/>
  <c r="A314" i="5"/>
  <c r="D313" i="5"/>
  <c r="H313" i="5" s="1"/>
  <c r="E313" i="5"/>
  <c r="I313" i="5" s="1"/>
  <c r="N102" i="5" l="1"/>
  <c r="R102" i="5" s="1"/>
  <c r="G297" i="5"/>
  <c r="C298" i="5" s="1"/>
  <c r="F313" i="5"/>
  <c r="E314" i="5"/>
  <c r="I314" i="5" s="1"/>
  <c r="D314" i="5"/>
  <c r="H314" i="5" s="1"/>
  <c r="A315" i="5"/>
  <c r="L102" i="5" l="1"/>
  <c r="Q102" i="5" s="1"/>
  <c r="G298" i="5"/>
  <c r="C299" i="5" s="1"/>
  <c r="F314" i="5"/>
  <c r="E315" i="5"/>
  <c r="I315" i="5" s="1"/>
  <c r="A316" i="5"/>
  <c r="D315" i="5"/>
  <c r="H315" i="5" s="1"/>
  <c r="O102" i="5" l="1"/>
  <c r="P102" i="5"/>
  <c r="K103" i="5" s="1"/>
  <c r="G299" i="5"/>
  <c r="C300" i="5" s="1"/>
  <c r="F315" i="5"/>
  <c r="D316" i="5"/>
  <c r="H316" i="5" s="1"/>
  <c r="E316" i="5"/>
  <c r="I316" i="5" s="1"/>
  <c r="A317" i="5"/>
  <c r="N103" i="5" l="1"/>
  <c r="R103" i="5" s="1"/>
  <c r="G300" i="5"/>
  <c r="C301" i="5" s="1"/>
  <c r="F316" i="5"/>
  <c r="A318" i="5"/>
  <c r="D317" i="5"/>
  <c r="H317" i="5" s="1"/>
  <c r="E317" i="5"/>
  <c r="I317" i="5" s="1"/>
  <c r="L103" i="5" l="1"/>
  <c r="Q103" i="5" s="1"/>
  <c r="G301" i="5"/>
  <c r="C302" i="5" s="1"/>
  <c r="F317" i="5"/>
  <c r="A319" i="5"/>
  <c r="E318" i="5"/>
  <c r="I318" i="5" s="1"/>
  <c r="D318" i="5"/>
  <c r="H318" i="5" s="1"/>
  <c r="O103" i="5" l="1"/>
  <c r="P103" i="5"/>
  <c r="K104" i="5" s="1"/>
  <c r="G302" i="5"/>
  <c r="C303" i="5" s="1"/>
  <c r="F318" i="5"/>
  <c r="E319" i="5"/>
  <c r="I319" i="5" s="1"/>
  <c r="A320" i="5"/>
  <c r="D319" i="5"/>
  <c r="H319" i="5" s="1"/>
  <c r="N104" i="5" l="1"/>
  <c r="R104" i="5" s="1"/>
  <c r="G303" i="5"/>
  <c r="C304" i="5" s="1"/>
  <c r="F319" i="5"/>
  <c r="D320" i="5"/>
  <c r="H320" i="5" s="1"/>
  <c r="E320" i="5"/>
  <c r="I320" i="5" s="1"/>
  <c r="A321" i="5"/>
  <c r="L104" i="5" l="1"/>
  <c r="Q104" i="5" s="1"/>
  <c r="G304" i="5"/>
  <c r="C305" i="5" s="1"/>
  <c r="F320" i="5"/>
  <c r="E321" i="5"/>
  <c r="I321" i="5" s="1"/>
  <c r="A322" i="5"/>
  <c r="D321" i="5"/>
  <c r="H321" i="5" s="1"/>
  <c r="O104" i="5" l="1"/>
  <c r="P104" i="5"/>
  <c r="K105" i="5" s="1"/>
  <c r="G305" i="5"/>
  <c r="C306" i="5" s="1"/>
  <c r="F321" i="5"/>
  <c r="E322" i="5"/>
  <c r="I322" i="5" s="1"/>
  <c r="D322" i="5"/>
  <c r="H322" i="5" s="1"/>
  <c r="A323" i="5"/>
  <c r="N105" i="5" l="1"/>
  <c r="R105" i="5" s="1"/>
  <c r="G306" i="5"/>
  <c r="C307" i="5" s="1"/>
  <c r="F322" i="5"/>
  <c r="D323" i="5"/>
  <c r="H323" i="5" s="1"/>
  <c r="E323" i="5"/>
  <c r="I323" i="5" s="1"/>
  <c r="A324" i="5"/>
  <c r="L105" i="5" l="1"/>
  <c r="Q105" i="5" s="1"/>
  <c r="G307" i="5"/>
  <c r="C308" i="5" s="1"/>
  <c r="F323" i="5"/>
  <c r="E324" i="5"/>
  <c r="I324" i="5" s="1"/>
  <c r="D324" i="5"/>
  <c r="H324" i="5" s="1"/>
  <c r="A325" i="5"/>
  <c r="O105" i="5" l="1"/>
  <c r="P105" i="5"/>
  <c r="K106" i="5" s="1"/>
  <c r="G308" i="5"/>
  <c r="C309" i="5" s="1"/>
  <c r="F324" i="5"/>
  <c r="D325" i="5"/>
  <c r="H325" i="5" s="1"/>
  <c r="A326" i="5"/>
  <c r="E325" i="5"/>
  <c r="I325" i="5" s="1"/>
  <c r="N106" i="5" l="1"/>
  <c r="R106" i="5" s="1"/>
  <c r="G309" i="5"/>
  <c r="C310" i="5" s="1"/>
  <c r="F325" i="5"/>
  <c r="E326" i="5"/>
  <c r="I326" i="5" s="1"/>
  <c r="D326" i="5"/>
  <c r="H326" i="5" s="1"/>
  <c r="A327" i="5"/>
  <c r="L106" i="5" l="1"/>
  <c r="Q106" i="5" s="1"/>
  <c r="G310" i="5"/>
  <c r="C311" i="5" s="1"/>
  <c r="F326" i="5"/>
  <c r="E327" i="5"/>
  <c r="I327" i="5" s="1"/>
  <c r="A328" i="5"/>
  <c r="D327" i="5"/>
  <c r="H327" i="5" s="1"/>
  <c r="O106" i="5" l="1"/>
  <c r="P106" i="5"/>
  <c r="K107" i="5" s="1"/>
  <c r="G311" i="5"/>
  <c r="C312" i="5" s="1"/>
  <c r="F327" i="5"/>
  <c r="E328" i="5"/>
  <c r="I328" i="5" s="1"/>
  <c r="A329" i="5"/>
  <c r="D328" i="5"/>
  <c r="H328" i="5" s="1"/>
  <c r="N107" i="5" l="1"/>
  <c r="R107" i="5" s="1"/>
  <c r="G312" i="5"/>
  <c r="C313" i="5" s="1"/>
  <c r="F328" i="5"/>
  <c r="E329" i="5"/>
  <c r="I329" i="5" s="1"/>
  <c r="A330" i="5"/>
  <c r="D329" i="5"/>
  <c r="H329" i="5" s="1"/>
  <c r="L107" i="5" l="1"/>
  <c r="Q107" i="5" s="1"/>
  <c r="G313" i="5"/>
  <c r="C314" i="5" s="1"/>
  <c r="F329" i="5"/>
  <c r="E330" i="5"/>
  <c r="I330" i="5" s="1"/>
  <c r="A331" i="5"/>
  <c r="D330" i="5"/>
  <c r="H330" i="5" s="1"/>
  <c r="O107" i="5" l="1"/>
  <c r="P107" i="5"/>
  <c r="K108" i="5" s="1"/>
  <c r="G314" i="5"/>
  <c r="C315" i="5" s="1"/>
  <c r="F330" i="5"/>
  <c r="E331" i="5"/>
  <c r="I331" i="5" s="1"/>
  <c r="D331" i="5"/>
  <c r="H331" i="5" s="1"/>
  <c r="A332" i="5"/>
  <c r="N108" i="5" l="1"/>
  <c r="R108" i="5" s="1"/>
  <c r="G315" i="5"/>
  <c r="C316" i="5" s="1"/>
  <c r="F331" i="5"/>
  <c r="D332" i="5"/>
  <c r="H332" i="5" s="1"/>
  <c r="E332" i="5"/>
  <c r="I332" i="5" s="1"/>
  <c r="A333" i="5"/>
  <c r="L108" i="5" l="1"/>
  <c r="Q108" i="5" s="1"/>
  <c r="G316" i="5"/>
  <c r="C317" i="5" s="1"/>
  <c r="F332" i="5"/>
  <c r="D333" i="5"/>
  <c r="H333" i="5" s="1"/>
  <c r="E333" i="5"/>
  <c r="I333" i="5" s="1"/>
  <c r="A334" i="5"/>
  <c r="O108" i="5" l="1"/>
  <c r="P108" i="5"/>
  <c r="K109" i="5" s="1"/>
  <c r="G317" i="5"/>
  <c r="C318" i="5" s="1"/>
  <c r="F333" i="5"/>
  <c r="E334" i="5"/>
  <c r="I334" i="5" s="1"/>
  <c r="D334" i="5"/>
  <c r="H334" i="5" s="1"/>
  <c r="A335" i="5"/>
  <c r="N109" i="5" l="1"/>
  <c r="R109" i="5" s="1"/>
  <c r="G318" i="5"/>
  <c r="C319" i="5" s="1"/>
  <c r="F334" i="5"/>
  <c r="D335" i="5"/>
  <c r="H335" i="5" s="1"/>
  <c r="E335" i="5"/>
  <c r="I335" i="5" s="1"/>
  <c r="A336" i="5"/>
  <c r="L109" i="5" l="1"/>
  <c r="Q109" i="5" s="1"/>
  <c r="G319" i="5"/>
  <c r="C320" i="5" s="1"/>
  <c r="F335" i="5"/>
  <c r="D336" i="5"/>
  <c r="H336" i="5" s="1"/>
  <c r="E336" i="5"/>
  <c r="I336" i="5" s="1"/>
  <c r="A337" i="5"/>
  <c r="O109" i="5" l="1"/>
  <c r="P109" i="5"/>
  <c r="K110" i="5" s="1"/>
  <c r="G320" i="5"/>
  <c r="C321" i="5" s="1"/>
  <c r="F336" i="5"/>
  <c r="A338" i="5"/>
  <c r="D337" i="5"/>
  <c r="H337" i="5" s="1"/>
  <c r="E337" i="5"/>
  <c r="I337" i="5" s="1"/>
  <c r="N110" i="5" l="1"/>
  <c r="R110" i="5" s="1"/>
  <c r="G321" i="5"/>
  <c r="C322" i="5" s="1"/>
  <c r="F337" i="5"/>
  <c r="E338" i="5"/>
  <c r="I338" i="5" s="1"/>
  <c r="A339" i="5"/>
  <c r="D338" i="5"/>
  <c r="H338" i="5" s="1"/>
  <c r="L110" i="5" l="1"/>
  <c r="Q110" i="5" s="1"/>
  <c r="G322" i="5"/>
  <c r="C323" i="5" s="1"/>
  <c r="F338" i="5"/>
  <c r="D339" i="5"/>
  <c r="H339" i="5" s="1"/>
  <c r="E339" i="5"/>
  <c r="I339" i="5" s="1"/>
  <c r="A340" i="5"/>
  <c r="O110" i="5" l="1"/>
  <c r="P110" i="5"/>
  <c r="K111" i="5" s="1"/>
  <c r="G323" i="5"/>
  <c r="C324" i="5" s="1"/>
  <c r="F339" i="5"/>
  <c r="E340" i="5"/>
  <c r="I340" i="5" s="1"/>
  <c r="D340" i="5"/>
  <c r="H340" i="5" s="1"/>
  <c r="A341" i="5"/>
  <c r="N111" i="5" l="1"/>
  <c r="R111" i="5" s="1"/>
  <c r="G324" i="5"/>
  <c r="C325" i="5" s="1"/>
  <c r="F340" i="5"/>
  <c r="A342" i="5"/>
  <c r="D341" i="5"/>
  <c r="H341" i="5" s="1"/>
  <c r="E341" i="5"/>
  <c r="I341" i="5" s="1"/>
  <c r="L111" i="5" l="1"/>
  <c r="Q111" i="5" s="1"/>
  <c r="G325" i="5"/>
  <c r="C326" i="5" s="1"/>
  <c r="F341" i="5"/>
  <c r="E342" i="5"/>
  <c r="I342" i="5" s="1"/>
  <c r="D342" i="5"/>
  <c r="H342" i="5" s="1"/>
  <c r="A343" i="5"/>
  <c r="O111" i="5" l="1"/>
  <c r="P111" i="5"/>
  <c r="K112" i="5" s="1"/>
  <c r="G326" i="5"/>
  <c r="C327" i="5" s="1"/>
  <c r="F342" i="5"/>
  <c r="D343" i="5"/>
  <c r="H343" i="5" s="1"/>
  <c r="A344" i="5"/>
  <c r="E343" i="5"/>
  <c r="I343" i="5" s="1"/>
  <c r="N112" i="5" l="1"/>
  <c r="R112" i="5" s="1"/>
  <c r="G327" i="5"/>
  <c r="C328" i="5" s="1"/>
  <c r="F343" i="5"/>
  <c r="E344" i="5"/>
  <c r="I344" i="5" s="1"/>
  <c r="A345" i="5"/>
  <c r="D344" i="5"/>
  <c r="H344" i="5" s="1"/>
  <c r="L112" i="5" l="1"/>
  <c r="Q112" i="5" s="1"/>
  <c r="G328" i="5"/>
  <c r="C329" i="5" s="1"/>
  <c r="F344" i="5"/>
  <c r="A346" i="5"/>
  <c r="D345" i="5"/>
  <c r="H345" i="5" s="1"/>
  <c r="E345" i="5"/>
  <c r="I345" i="5" s="1"/>
  <c r="O112" i="5" l="1"/>
  <c r="P112" i="5"/>
  <c r="K113" i="5" s="1"/>
  <c r="G329" i="5"/>
  <c r="C330" i="5" s="1"/>
  <c r="F345" i="5"/>
  <c r="A347" i="5"/>
  <c r="D346" i="5"/>
  <c r="H346" i="5" s="1"/>
  <c r="E346" i="5"/>
  <c r="I346" i="5" s="1"/>
  <c r="N113" i="5" l="1"/>
  <c r="R113" i="5" s="1"/>
  <c r="G330" i="5"/>
  <c r="C331" i="5" s="1"/>
  <c r="F346" i="5"/>
  <c r="E347" i="5"/>
  <c r="I347" i="5" s="1"/>
  <c r="A348" i="5"/>
  <c r="D347" i="5"/>
  <c r="H347" i="5" s="1"/>
  <c r="L113" i="5" l="1"/>
  <c r="Q113" i="5" s="1"/>
  <c r="G331" i="5"/>
  <c r="C332" i="5" s="1"/>
  <c r="F347" i="5"/>
  <c r="E348" i="5"/>
  <c r="I348" i="5" s="1"/>
  <c r="A349" i="5"/>
  <c r="D348" i="5"/>
  <c r="H348" i="5" s="1"/>
  <c r="O113" i="5" l="1"/>
  <c r="P113" i="5"/>
  <c r="K114" i="5" s="1"/>
  <c r="G332" i="5"/>
  <c r="C333" i="5" s="1"/>
  <c r="F348" i="5"/>
  <c r="D349" i="5"/>
  <c r="H349" i="5" s="1"/>
  <c r="A350" i="5"/>
  <c r="E349" i="5"/>
  <c r="I349" i="5" s="1"/>
  <c r="N114" i="5" l="1"/>
  <c r="R114" i="5" s="1"/>
  <c r="G333" i="5"/>
  <c r="C334" i="5" s="1"/>
  <c r="F349" i="5"/>
  <c r="E350" i="5"/>
  <c r="I350" i="5" s="1"/>
  <c r="A351" i="5"/>
  <c r="D350" i="5"/>
  <c r="H350" i="5" s="1"/>
  <c r="L114" i="5" l="1"/>
  <c r="Q114" i="5" s="1"/>
  <c r="G334" i="5"/>
  <c r="C335" i="5" s="1"/>
  <c r="F350" i="5"/>
  <c r="A352" i="5"/>
  <c r="E351" i="5"/>
  <c r="I351" i="5" s="1"/>
  <c r="D351" i="5"/>
  <c r="H351" i="5" s="1"/>
  <c r="O114" i="5" l="1"/>
  <c r="P114" i="5"/>
  <c r="K115" i="5" s="1"/>
  <c r="G335" i="5"/>
  <c r="C336" i="5" s="1"/>
  <c r="F351" i="5"/>
  <c r="A353" i="5"/>
  <c r="D352" i="5"/>
  <c r="H352" i="5" s="1"/>
  <c r="E352" i="5"/>
  <c r="I352" i="5" s="1"/>
  <c r="N115" i="5" l="1"/>
  <c r="R115" i="5" s="1"/>
  <c r="G336" i="5"/>
  <c r="C337" i="5" s="1"/>
  <c r="F352" i="5"/>
  <c r="A354" i="5"/>
  <c r="D353" i="5"/>
  <c r="H353" i="5" s="1"/>
  <c r="E353" i="5"/>
  <c r="I353" i="5" s="1"/>
  <c r="L115" i="5" l="1"/>
  <c r="Q115" i="5" s="1"/>
  <c r="G337" i="5"/>
  <c r="C338" i="5" s="1"/>
  <c r="F353" i="5"/>
  <c r="D354" i="5"/>
  <c r="H354" i="5" s="1"/>
  <c r="A355" i="5"/>
  <c r="E354" i="5"/>
  <c r="I354" i="5" s="1"/>
  <c r="O115" i="5" l="1"/>
  <c r="P115" i="5"/>
  <c r="K116" i="5" s="1"/>
  <c r="G338" i="5"/>
  <c r="C339" i="5" s="1"/>
  <c r="F354" i="5"/>
  <c r="D355" i="5"/>
  <c r="H355" i="5" s="1"/>
  <c r="E355" i="5"/>
  <c r="I355" i="5" s="1"/>
  <c r="A356" i="5"/>
  <c r="N116" i="5" l="1"/>
  <c r="R116" i="5" s="1"/>
  <c r="G339" i="5"/>
  <c r="C340" i="5" s="1"/>
  <c r="F355" i="5"/>
  <c r="A357" i="5"/>
  <c r="D356" i="5"/>
  <c r="H356" i="5" s="1"/>
  <c r="E356" i="5"/>
  <c r="I356" i="5" s="1"/>
  <c r="L116" i="5" l="1"/>
  <c r="Q116" i="5" s="1"/>
  <c r="G340" i="5"/>
  <c r="C341" i="5" s="1"/>
  <c r="F356" i="5"/>
  <c r="E357" i="5"/>
  <c r="I357" i="5" s="1"/>
  <c r="D357" i="5"/>
  <c r="H357" i="5" s="1"/>
  <c r="A358" i="5"/>
  <c r="O116" i="5" l="1"/>
  <c r="P116" i="5"/>
  <c r="K117" i="5" s="1"/>
  <c r="G341" i="5"/>
  <c r="C342" i="5" s="1"/>
  <c r="F357" i="5"/>
  <c r="A359" i="5"/>
  <c r="E358" i="5"/>
  <c r="I358" i="5" s="1"/>
  <c r="D358" i="5"/>
  <c r="H358" i="5" s="1"/>
  <c r="N117" i="5" l="1"/>
  <c r="R117" i="5" s="1"/>
  <c r="G342" i="5"/>
  <c r="C343" i="5" s="1"/>
  <c r="F358" i="5"/>
  <c r="D359" i="5"/>
  <c r="H359" i="5" s="1"/>
  <c r="A360" i="5"/>
  <c r="E359" i="5"/>
  <c r="I359" i="5" s="1"/>
  <c r="L117" i="5" l="1"/>
  <c r="Q117" i="5" s="1"/>
  <c r="G343" i="5"/>
  <c r="C344" i="5" s="1"/>
  <c r="F359" i="5"/>
  <c r="A361" i="5"/>
  <c r="D360" i="5"/>
  <c r="H360" i="5" s="1"/>
  <c r="E360" i="5"/>
  <c r="I360" i="5" s="1"/>
  <c r="O117" i="5" l="1"/>
  <c r="P117" i="5"/>
  <c r="K118" i="5" s="1"/>
  <c r="G344" i="5"/>
  <c r="C345" i="5" s="1"/>
  <c r="F360" i="5"/>
  <c r="D361" i="5"/>
  <c r="H361" i="5" s="1"/>
  <c r="A362" i="5"/>
  <c r="E361" i="5"/>
  <c r="I361" i="5" s="1"/>
  <c r="N118" i="5" l="1"/>
  <c r="R118" i="5" s="1"/>
  <c r="G345" i="5"/>
  <c r="C346" i="5" s="1"/>
  <c r="F361" i="5"/>
  <c r="A363" i="5"/>
  <c r="E362" i="5"/>
  <c r="I362" i="5" s="1"/>
  <c r="D362" i="5"/>
  <c r="H362" i="5" s="1"/>
  <c r="L118" i="5" l="1"/>
  <c r="Q118" i="5" s="1"/>
  <c r="G346" i="5"/>
  <c r="C347" i="5" s="1"/>
  <c r="F362" i="5"/>
  <c r="D363" i="5"/>
  <c r="H363" i="5" s="1"/>
  <c r="B12" i="3" s="1"/>
  <c r="E363" i="5"/>
  <c r="I363" i="5" s="1"/>
  <c r="B11" i="3" s="1"/>
  <c r="B30" i="3" l="1"/>
  <c r="Q10" i="4" s="1"/>
  <c r="B13" i="3"/>
  <c r="B18" i="3"/>
  <c r="C31" i="3" s="1"/>
  <c r="B31" i="3"/>
  <c r="O118" i="5"/>
  <c r="P118" i="5"/>
  <c r="K119" i="5" s="1"/>
  <c r="G347" i="5"/>
  <c r="C348" i="5" s="1"/>
  <c r="F363" i="5"/>
  <c r="N119" i="5" l="1"/>
  <c r="R119" i="5" s="1"/>
  <c r="G348" i="5"/>
  <c r="C349" i="5" s="1"/>
  <c r="L119" i="5" l="1"/>
  <c r="Q119" i="5" s="1"/>
  <c r="G349" i="5"/>
  <c r="C350" i="5" s="1"/>
  <c r="O119" i="5" l="1"/>
  <c r="P119" i="5"/>
  <c r="K120" i="5" s="1"/>
  <c r="G350" i="5"/>
  <c r="C351" i="5" s="1"/>
  <c r="N120" i="5" l="1"/>
  <c r="R120" i="5" s="1"/>
  <c r="G351" i="5"/>
  <c r="C352" i="5" s="1"/>
  <c r="L120" i="5" l="1"/>
  <c r="Q120" i="5" s="1"/>
  <c r="G352" i="5"/>
  <c r="C353" i="5" s="1"/>
  <c r="O120" i="5" l="1"/>
  <c r="P120" i="5"/>
  <c r="K121" i="5" s="1"/>
  <c r="G353" i="5"/>
  <c r="C354" i="5" s="1"/>
  <c r="N121" i="5" l="1"/>
  <c r="R121" i="5" s="1"/>
  <c r="G354" i="5"/>
  <c r="C355" i="5" s="1"/>
  <c r="L121" i="5" l="1"/>
  <c r="Q121" i="5" s="1"/>
  <c r="G355" i="5"/>
  <c r="C356" i="5" s="1"/>
  <c r="O121" i="5" l="1"/>
  <c r="P121" i="5"/>
  <c r="K122" i="5" s="1"/>
  <c r="G356" i="5"/>
  <c r="C357" i="5" s="1"/>
  <c r="N122" i="5" l="1"/>
  <c r="R122" i="5" s="1"/>
  <c r="G357" i="5"/>
  <c r="C358" i="5" s="1"/>
  <c r="L122" i="5" l="1"/>
  <c r="Q122" i="5" s="1"/>
  <c r="G358" i="5"/>
  <c r="C359" i="5" s="1"/>
  <c r="O122" i="5" l="1"/>
  <c r="P122" i="5"/>
  <c r="K123" i="5" s="1"/>
  <c r="G359" i="5"/>
  <c r="C360" i="5" s="1"/>
  <c r="N123" i="5" l="1"/>
  <c r="R123" i="5" s="1"/>
  <c r="G360" i="5"/>
  <c r="C361" i="5" s="1"/>
  <c r="L123" i="5" l="1"/>
  <c r="Q123" i="5" s="1"/>
  <c r="G361" i="5"/>
  <c r="C362" i="5" s="1"/>
  <c r="O123" i="5" l="1"/>
  <c r="P123" i="5"/>
  <c r="K124" i="5" s="1"/>
  <c r="G362" i="5"/>
  <c r="C363" i="5" s="1"/>
  <c r="N124" i="5" l="1"/>
  <c r="R124" i="5" s="1"/>
  <c r="G363" i="5"/>
  <c r="L124" i="5" l="1"/>
  <c r="Q124" i="5" s="1"/>
  <c r="O124" i="5" l="1"/>
  <c r="P124" i="5"/>
  <c r="K125" i="5" s="1"/>
  <c r="N125" i="5" l="1"/>
  <c r="R125" i="5" s="1"/>
  <c r="L125" i="5" l="1"/>
  <c r="Q125" i="5" s="1"/>
  <c r="O125" i="5" l="1"/>
  <c r="P125" i="5"/>
  <c r="K126" i="5" s="1"/>
  <c r="N126" i="5" l="1"/>
  <c r="R126" i="5" s="1"/>
  <c r="L126" i="5" l="1"/>
  <c r="Q126" i="5" s="1"/>
  <c r="O126" i="5" l="1"/>
  <c r="P126" i="5"/>
  <c r="K127" i="5" s="1"/>
  <c r="N127" i="5" l="1"/>
  <c r="R127" i="5" s="1"/>
  <c r="L127" i="5" l="1"/>
  <c r="Q127" i="5" s="1"/>
  <c r="O127" i="5" l="1"/>
  <c r="P127" i="5"/>
  <c r="K128" i="5" s="1"/>
  <c r="N128" i="5" l="1"/>
  <c r="R128" i="5" s="1"/>
  <c r="L128" i="5" l="1"/>
  <c r="Q128" i="5" s="1"/>
  <c r="O128" i="5" l="1"/>
  <c r="P128" i="5"/>
  <c r="K129" i="5" s="1"/>
  <c r="N129" i="5" l="1"/>
  <c r="R129" i="5" s="1"/>
  <c r="L129" i="5" l="1"/>
  <c r="Q129" i="5" s="1"/>
  <c r="O129" i="5" l="1"/>
  <c r="P129" i="5"/>
  <c r="K130" i="5" s="1"/>
  <c r="N130" i="5" l="1"/>
  <c r="R130" i="5" s="1"/>
  <c r="L130" i="5" l="1"/>
  <c r="Q130" i="5" s="1"/>
  <c r="O130" i="5" l="1"/>
  <c r="P130" i="5"/>
  <c r="K131" i="5" s="1"/>
  <c r="N131" i="5" l="1"/>
  <c r="R131" i="5" s="1"/>
  <c r="L131" i="5" l="1"/>
  <c r="Q131" i="5" s="1"/>
  <c r="O131" i="5" l="1"/>
  <c r="P131" i="5"/>
  <c r="K132" i="5" s="1"/>
  <c r="N132" i="5" l="1"/>
  <c r="R132" i="5" s="1"/>
  <c r="L132" i="5" l="1"/>
  <c r="Q132" i="5" s="1"/>
  <c r="O132" i="5" l="1"/>
  <c r="P132" i="5"/>
  <c r="K133" i="5" s="1"/>
  <c r="N133" i="5" l="1"/>
  <c r="R133" i="5" s="1"/>
  <c r="L133" i="5" l="1"/>
  <c r="Q133" i="5" s="1"/>
  <c r="O133" i="5" l="1"/>
  <c r="P133" i="5"/>
  <c r="K134" i="5" s="1"/>
  <c r="N134" i="5" l="1"/>
  <c r="R134" i="5" s="1"/>
  <c r="L134" i="5" l="1"/>
  <c r="Q134" i="5" s="1"/>
  <c r="O134" i="5" l="1"/>
  <c r="P134" i="5"/>
  <c r="K135" i="5" s="1"/>
  <c r="N135" i="5" l="1"/>
  <c r="R135" i="5" s="1"/>
  <c r="L135" i="5" l="1"/>
  <c r="Q135" i="5" s="1"/>
  <c r="O135" i="5" l="1"/>
  <c r="P135" i="5"/>
  <c r="K136" i="5" s="1"/>
  <c r="N136" i="5" l="1"/>
  <c r="R136" i="5" s="1"/>
  <c r="L136" i="5" l="1"/>
  <c r="Q136" i="5" s="1"/>
  <c r="O136" i="5" l="1"/>
  <c r="P136" i="5"/>
  <c r="K137" i="5" s="1"/>
  <c r="N137" i="5" l="1"/>
  <c r="R137" i="5" s="1"/>
  <c r="L137" i="5" l="1"/>
  <c r="Q137" i="5" s="1"/>
  <c r="O137" i="5" l="1"/>
  <c r="P137" i="5"/>
  <c r="K138" i="5" s="1"/>
  <c r="N138" i="5" l="1"/>
  <c r="R138" i="5" s="1"/>
  <c r="L138" i="5" l="1"/>
  <c r="Q138" i="5" s="1"/>
  <c r="O138" i="5" l="1"/>
  <c r="P138" i="5"/>
  <c r="K139" i="5" s="1"/>
  <c r="N139" i="5" l="1"/>
  <c r="R139" i="5" s="1"/>
  <c r="L139" i="5" l="1"/>
  <c r="Q139" i="5" s="1"/>
  <c r="O139" i="5" l="1"/>
  <c r="P139" i="5"/>
  <c r="K140" i="5" s="1"/>
  <c r="N140" i="5" l="1"/>
  <c r="R140" i="5" s="1"/>
  <c r="L140" i="5" l="1"/>
  <c r="Q140" i="5" s="1"/>
  <c r="O140" i="5" l="1"/>
  <c r="P140" i="5"/>
  <c r="K141" i="5" s="1"/>
  <c r="N141" i="5" l="1"/>
  <c r="R141" i="5" s="1"/>
  <c r="L141" i="5" l="1"/>
  <c r="Q141" i="5" s="1"/>
  <c r="O141" i="5" l="1"/>
  <c r="P141" i="5"/>
  <c r="K142" i="5" s="1"/>
  <c r="N142" i="5" l="1"/>
  <c r="R142" i="5" s="1"/>
  <c r="L142" i="5" l="1"/>
  <c r="Q142" i="5" s="1"/>
  <c r="O142" i="5" l="1"/>
  <c r="P142" i="5"/>
  <c r="K143" i="5" s="1"/>
  <c r="N143" i="5" l="1"/>
  <c r="R143" i="5" s="1"/>
  <c r="L143" i="5" l="1"/>
  <c r="Q143" i="5" s="1"/>
  <c r="O143" i="5" l="1"/>
  <c r="P143" i="5"/>
  <c r="K144" i="5" s="1"/>
  <c r="N144" i="5" l="1"/>
  <c r="R144" i="5" s="1"/>
  <c r="L144" i="5" l="1"/>
  <c r="Q144" i="5" s="1"/>
  <c r="O144" i="5" l="1"/>
  <c r="P144" i="5"/>
  <c r="K145" i="5" s="1"/>
  <c r="N145" i="5" l="1"/>
  <c r="R145" i="5" s="1"/>
  <c r="L145" i="5" l="1"/>
  <c r="Q145" i="5" s="1"/>
  <c r="O145" i="5" l="1"/>
  <c r="P145" i="5"/>
  <c r="K146" i="5" s="1"/>
  <c r="N146" i="5" l="1"/>
  <c r="R146" i="5" s="1"/>
  <c r="L146" i="5" l="1"/>
  <c r="Q146" i="5" s="1"/>
  <c r="O146" i="5" l="1"/>
  <c r="P146" i="5"/>
  <c r="K147" i="5" s="1"/>
  <c r="N147" i="5" l="1"/>
  <c r="R147" i="5" s="1"/>
  <c r="L147" i="5" l="1"/>
  <c r="Q147" i="5" s="1"/>
  <c r="O147" i="5" l="1"/>
  <c r="P147" i="5"/>
  <c r="K148" i="5" s="1"/>
  <c r="N148" i="5" l="1"/>
  <c r="R148" i="5" s="1"/>
  <c r="L148" i="5" l="1"/>
  <c r="Q148" i="5" s="1"/>
  <c r="O148" i="5" l="1"/>
  <c r="P148" i="5"/>
  <c r="K149" i="5" s="1"/>
  <c r="N149" i="5" l="1"/>
  <c r="R149" i="5" s="1"/>
  <c r="L149" i="5" l="1"/>
  <c r="Q149" i="5" s="1"/>
  <c r="O149" i="5" l="1"/>
  <c r="P149" i="5"/>
  <c r="K150" i="5" s="1"/>
  <c r="N150" i="5" l="1"/>
  <c r="R150" i="5" s="1"/>
  <c r="L150" i="5" l="1"/>
  <c r="Q150" i="5" s="1"/>
  <c r="O150" i="5" l="1"/>
  <c r="P150" i="5"/>
  <c r="K151" i="5" s="1"/>
  <c r="N151" i="5" l="1"/>
  <c r="R151" i="5" s="1"/>
  <c r="L151" i="5" l="1"/>
  <c r="Q151" i="5" s="1"/>
  <c r="O151" i="5" l="1"/>
  <c r="P151" i="5"/>
  <c r="K152" i="5" s="1"/>
  <c r="N152" i="5" l="1"/>
  <c r="R152" i="5" s="1"/>
  <c r="L152" i="5" l="1"/>
  <c r="Q152" i="5" s="1"/>
  <c r="O152" i="5" l="1"/>
  <c r="P152" i="5"/>
  <c r="K153" i="5" s="1"/>
  <c r="N153" i="5" l="1"/>
  <c r="R153" i="5" s="1"/>
  <c r="L153" i="5" l="1"/>
  <c r="Q153" i="5" s="1"/>
  <c r="O153" i="5" l="1"/>
  <c r="P153" i="5"/>
  <c r="K154" i="5" s="1"/>
  <c r="N154" i="5" l="1"/>
  <c r="R154" i="5" s="1"/>
  <c r="L154" i="5" l="1"/>
  <c r="Q154" i="5" s="1"/>
  <c r="O154" i="5" l="1"/>
  <c r="P154" i="5"/>
  <c r="K155" i="5" s="1"/>
  <c r="N155" i="5" l="1"/>
  <c r="R155" i="5" s="1"/>
  <c r="L155" i="5" l="1"/>
  <c r="Q155" i="5" s="1"/>
  <c r="O155" i="5" l="1"/>
  <c r="P155" i="5"/>
  <c r="K156" i="5" s="1"/>
  <c r="N156" i="5" l="1"/>
  <c r="R156" i="5" s="1"/>
  <c r="L156" i="5" l="1"/>
  <c r="Q156" i="5" s="1"/>
  <c r="O156" i="5" l="1"/>
  <c r="P156" i="5"/>
  <c r="K157" i="5" s="1"/>
  <c r="N157" i="5" l="1"/>
  <c r="R157" i="5" s="1"/>
  <c r="L157" i="5" l="1"/>
  <c r="Q157" i="5" s="1"/>
  <c r="O157" i="5" l="1"/>
  <c r="P157" i="5"/>
  <c r="K158" i="5" s="1"/>
  <c r="N158" i="5" l="1"/>
  <c r="R158" i="5" s="1"/>
  <c r="L158" i="5" l="1"/>
  <c r="Q158" i="5" s="1"/>
  <c r="O158" i="5" l="1"/>
  <c r="P158" i="5"/>
  <c r="K159" i="5" s="1"/>
  <c r="N159" i="5" l="1"/>
  <c r="R159" i="5" s="1"/>
  <c r="L159" i="5" l="1"/>
  <c r="Q159" i="5" s="1"/>
  <c r="O159" i="5" l="1"/>
  <c r="P159" i="5"/>
  <c r="K160" i="5" s="1"/>
  <c r="N160" i="5" l="1"/>
  <c r="R160" i="5" s="1"/>
  <c r="L160" i="5" l="1"/>
  <c r="Q160" i="5" s="1"/>
  <c r="O160" i="5" l="1"/>
  <c r="P160" i="5"/>
  <c r="K161" i="5" s="1"/>
  <c r="N161" i="5" l="1"/>
  <c r="R161" i="5" s="1"/>
  <c r="L161" i="5" l="1"/>
  <c r="Q161" i="5" s="1"/>
  <c r="O161" i="5" l="1"/>
  <c r="P161" i="5"/>
  <c r="K162" i="5" s="1"/>
  <c r="N162" i="5" l="1"/>
  <c r="R162" i="5" s="1"/>
  <c r="L162" i="5" l="1"/>
  <c r="Q162" i="5" s="1"/>
  <c r="O162" i="5" l="1"/>
  <c r="P162" i="5"/>
  <c r="K163" i="5" s="1"/>
  <c r="N163" i="5" l="1"/>
  <c r="R163" i="5" s="1"/>
  <c r="L163" i="5" l="1"/>
  <c r="Q163" i="5" s="1"/>
  <c r="O163" i="5" l="1"/>
  <c r="P163" i="5"/>
  <c r="K164" i="5" s="1"/>
  <c r="N164" i="5" l="1"/>
  <c r="R164" i="5" s="1"/>
  <c r="L164" i="5" l="1"/>
  <c r="Q164" i="5" s="1"/>
  <c r="O164" i="5" l="1"/>
  <c r="P164" i="5"/>
  <c r="K165" i="5" s="1"/>
  <c r="N165" i="5" l="1"/>
  <c r="R165" i="5" s="1"/>
  <c r="L165" i="5" l="1"/>
  <c r="Q165" i="5" s="1"/>
  <c r="O165" i="5" l="1"/>
  <c r="P165" i="5"/>
  <c r="K166" i="5" s="1"/>
  <c r="N166" i="5" l="1"/>
  <c r="R166" i="5" s="1"/>
  <c r="L166" i="5" l="1"/>
  <c r="Q166" i="5" s="1"/>
  <c r="O166" i="5" l="1"/>
  <c r="P166" i="5"/>
  <c r="K167" i="5" s="1"/>
  <c r="N167" i="5" l="1"/>
  <c r="R167" i="5" s="1"/>
  <c r="L167" i="5" l="1"/>
  <c r="Q167" i="5" s="1"/>
  <c r="O167" i="5" l="1"/>
  <c r="P167" i="5"/>
  <c r="K168" i="5" s="1"/>
  <c r="N168" i="5" l="1"/>
  <c r="R168" i="5" s="1"/>
  <c r="L168" i="5" l="1"/>
  <c r="Q168" i="5" s="1"/>
  <c r="O168" i="5" l="1"/>
  <c r="P168" i="5"/>
  <c r="K169" i="5" s="1"/>
  <c r="N169" i="5" l="1"/>
  <c r="R169" i="5" s="1"/>
  <c r="L169" i="5" l="1"/>
  <c r="Q169" i="5" s="1"/>
  <c r="O169" i="5" l="1"/>
  <c r="P169" i="5"/>
  <c r="K170" i="5" s="1"/>
  <c r="N170" i="5" l="1"/>
  <c r="R170" i="5" s="1"/>
  <c r="L170" i="5" l="1"/>
  <c r="Q170" i="5" s="1"/>
  <c r="O170" i="5" l="1"/>
  <c r="P170" i="5"/>
  <c r="K171" i="5" s="1"/>
  <c r="N171" i="5" l="1"/>
  <c r="R171" i="5" s="1"/>
  <c r="L171" i="5" l="1"/>
  <c r="Q171" i="5" s="1"/>
  <c r="O171" i="5" l="1"/>
  <c r="P171" i="5"/>
  <c r="K172" i="5" s="1"/>
  <c r="N172" i="5" l="1"/>
  <c r="R172" i="5" s="1"/>
  <c r="L172" i="5" l="1"/>
  <c r="Q172" i="5" s="1"/>
  <c r="O172" i="5" l="1"/>
  <c r="P172" i="5"/>
  <c r="K173" i="5" s="1"/>
  <c r="N173" i="5" l="1"/>
  <c r="R173" i="5" s="1"/>
  <c r="L173" i="5" l="1"/>
  <c r="Q173" i="5" s="1"/>
  <c r="O173" i="5" l="1"/>
  <c r="P173" i="5"/>
  <c r="K174" i="5" s="1"/>
  <c r="N174" i="5" l="1"/>
  <c r="R174" i="5" s="1"/>
  <c r="L174" i="5" l="1"/>
  <c r="Q174" i="5" s="1"/>
  <c r="O174" i="5" l="1"/>
  <c r="P174" i="5"/>
  <c r="K175" i="5" s="1"/>
  <c r="N175" i="5" l="1"/>
  <c r="R175" i="5" s="1"/>
  <c r="L175" i="5" l="1"/>
  <c r="Q175" i="5" s="1"/>
  <c r="O175" i="5" l="1"/>
  <c r="P175" i="5"/>
  <c r="K176" i="5" s="1"/>
  <c r="N176" i="5" l="1"/>
  <c r="R176" i="5" s="1"/>
  <c r="L176" i="5" l="1"/>
  <c r="Q176" i="5" s="1"/>
  <c r="O176" i="5" l="1"/>
  <c r="P176" i="5"/>
  <c r="K177" i="5" s="1"/>
  <c r="N177" i="5" l="1"/>
  <c r="R177" i="5" s="1"/>
  <c r="L177" i="5" l="1"/>
  <c r="Q177" i="5" s="1"/>
  <c r="O177" i="5" l="1"/>
  <c r="P177" i="5"/>
  <c r="K178" i="5" s="1"/>
  <c r="N178" i="5" l="1"/>
  <c r="R178" i="5" s="1"/>
  <c r="L178" i="5" l="1"/>
  <c r="Q178" i="5" s="1"/>
  <c r="O178" i="5" l="1"/>
  <c r="P178" i="5"/>
  <c r="K179" i="5" s="1"/>
  <c r="N179" i="5" l="1"/>
  <c r="R179" i="5" s="1"/>
  <c r="L179" i="5" l="1"/>
  <c r="Q179" i="5" s="1"/>
  <c r="O179" i="5" l="1"/>
  <c r="P179" i="5"/>
  <c r="K180" i="5" s="1"/>
  <c r="N180" i="5" l="1"/>
  <c r="R180" i="5" s="1"/>
  <c r="L180" i="5" l="1"/>
  <c r="Q180" i="5" s="1"/>
  <c r="O180" i="5" l="1"/>
  <c r="P180" i="5"/>
  <c r="K181" i="5" s="1"/>
  <c r="N181" i="5" l="1"/>
  <c r="R181" i="5" s="1"/>
  <c r="L181" i="5" l="1"/>
  <c r="Q181" i="5" s="1"/>
  <c r="O181" i="5" l="1"/>
  <c r="P181" i="5"/>
  <c r="K182" i="5" s="1"/>
  <c r="N182" i="5" l="1"/>
  <c r="R182" i="5" s="1"/>
  <c r="L182" i="5" l="1"/>
  <c r="Q182" i="5" s="1"/>
  <c r="O182" i="5" l="1"/>
  <c r="P182" i="5"/>
  <c r="K183" i="5" s="1"/>
  <c r="N183" i="5" l="1"/>
  <c r="R183" i="5" s="1"/>
  <c r="L183" i="5" l="1"/>
  <c r="Q183" i="5" s="1"/>
  <c r="O183" i="5" l="1"/>
  <c r="P183" i="5"/>
  <c r="K184" i="5" s="1"/>
  <c r="N184" i="5" l="1"/>
  <c r="R184" i="5" s="1"/>
  <c r="L184" i="5" l="1"/>
  <c r="Q184" i="5" s="1"/>
  <c r="O184" i="5" l="1"/>
  <c r="P184" i="5"/>
  <c r="K185" i="5" s="1"/>
  <c r="N185" i="5" l="1"/>
  <c r="R185" i="5" s="1"/>
  <c r="L185" i="5" l="1"/>
  <c r="Q185" i="5" s="1"/>
  <c r="O185" i="5" l="1"/>
  <c r="P185" i="5"/>
  <c r="K186" i="5" s="1"/>
  <c r="N186" i="5" l="1"/>
  <c r="R186" i="5" s="1"/>
  <c r="L186" i="5" l="1"/>
  <c r="Q186" i="5" s="1"/>
  <c r="O186" i="5" l="1"/>
  <c r="P186" i="5"/>
  <c r="K187" i="5" s="1"/>
  <c r="N187" i="5" l="1"/>
  <c r="R187" i="5" s="1"/>
  <c r="L187" i="5" l="1"/>
  <c r="Q187" i="5" s="1"/>
  <c r="O187" i="5" l="1"/>
  <c r="P187" i="5"/>
  <c r="K188" i="5" s="1"/>
  <c r="N188" i="5" l="1"/>
  <c r="R188" i="5" s="1"/>
  <c r="L188" i="5" l="1"/>
  <c r="Q188" i="5" s="1"/>
  <c r="O188" i="5" l="1"/>
  <c r="P188" i="5"/>
  <c r="K189" i="5" s="1"/>
  <c r="N189" i="5" l="1"/>
  <c r="R189" i="5" s="1"/>
  <c r="L189" i="5" l="1"/>
  <c r="Q189" i="5" s="1"/>
  <c r="O189" i="5" l="1"/>
  <c r="P189" i="5"/>
  <c r="K190" i="5" s="1"/>
  <c r="N190" i="5" l="1"/>
  <c r="R190" i="5" s="1"/>
  <c r="L190" i="5" l="1"/>
  <c r="Q190" i="5" s="1"/>
  <c r="O190" i="5" l="1"/>
  <c r="P190" i="5"/>
  <c r="K191" i="5" s="1"/>
  <c r="N191" i="5" l="1"/>
  <c r="R191" i="5" s="1"/>
  <c r="L191" i="5" l="1"/>
  <c r="Q191" i="5" s="1"/>
  <c r="O191" i="5" l="1"/>
  <c r="P191" i="5"/>
  <c r="K192" i="5" s="1"/>
  <c r="N192" i="5" l="1"/>
  <c r="R192" i="5" s="1"/>
  <c r="L192" i="5" l="1"/>
  <c r="Q192" i="5" s="1"/>
  <c r="O192" i="5" l="1"/>
  <c r="P192" i="5"/>
  <c r="K193" i="5" s="1"/>
  <c r="N193" i="5" l="1"/>
  <c r="R193" i="5" s="1"/>
  <c r="L193" i="5" l="1"/>
  <c r="Q193" i="5" s="1"/>
  <c r="O193" i="5" l="1"/>
  <c r="P193" i="5"/>
  <c r="K194" i="5" s="1"/>
  <c r="N194" i="5" l="1"/>
  <c r="R194" i="5" s="1"/>
  <c r="L194" i="5" l="1"/>
  <c r="Q194" i="5" s="1"/>
  <c r="O194" i="5" l="1"/>
  <c r="P194" i="5"/>
  <c r="K195" i="5" s="1"/>
  <c r="N195" i="5" l="1"/>
  <c r="R195" i="5" s="1"/>
  <c r="L195" i="5" l="1"/>
  <c r="Q195" i="5" s="1"/>
  <c r="O195" i="5" l="1"/>
  <c r="P195" i="5"/>
  <c r="K196" i="5" s="1"/>
  <c r="N196" i="5" l="1"/>
  <c r="R196" i="5" s="1"/>
  <c r="L196" i="5" l="1"/>
  <c r="Q196" i="5" s="1"/>
  <c r="O196" i="5" l="1"/>
  <c r="P196" i="5"/>
  <c r="K197" i="5" s="1"/>
  <c r="N197" i="5" l="1"/>
  <c r="R197" i="5" s="1"/>
  <c r="L197" i="5" l="1"/>
  <c r="Q197" i="5" s="1"/>
  <c r="O197" i="5" l="1"/>
  <c r="P197" i="5"/>
  <c r="K198" i="5" s="1"/>
  <c r="N198" i="5" l="1"/>
  <c r="R198" i="5" s="1"/>
  <c r="L198" i="5" l="1"/>
  <c r="Q198" i="5" s="1"/>
  <c r="O198" i="5" l="1"/>
  <c r="P198" i="5"/>
  <c r="K199" i="5" s="1"/>
  <c r="N199" i="5" l="1"/>
  <c r="R199" i="5" s="1"/>
  <c r="L199" i="5" l="1"/>
  <c r="Q199" i="5" s="1"/>
  <c r="O199" i="5" l="1"/>
  <c r="P199" i="5"/>
  <c r="K200" i="5" s="1"/>
  <c r="N200" i="5" l="1"/>
  <c r="R200" i="5" s="1"/>
  <c r="L200" i="5" l="1"/>
  <c r="Q200" i="5" s="1"/>
  <c r="O200" i="5" l="1"/>
  <c r="P200" i="5"/>
  <c r="K201" i="5" s="1"/>
  <c r="N201" i="5" l="1"/>
  <c r="R201" i="5" s="1"/>
  <c r="L201" i="5" l="1"/>
  <c r="Q201" i="5" s="1"/>
  <c r="O201" i="5" l="1"/>
  <c r="P201" i="5"/>
  <c r="K202" i="5" s="1"/>
  <c r="N202" i="5" l="1"/>
  <c r="R202" i="5" s="1"/>
  <c r="L202" i="5" l="1"/>
  <c r="Q202" i="5" s="1"/>
  <c r="O202" i="5" l="1"/>
  <c r="P202" i="5"/>
  <c r="K203" i="5" s="1"/>
  <c r="N203" i="5" l="1"/>
  <c r="R203" i="5" s="1"/>
  <c r="L203" i="5" l="1"/>
  <c r="Q203" i="5" s="1"/>
  <c r="O203" i="5" l="1"/>
  <c r="P203" i="5"/>
  <c r="K204" i="5" s="1"/>
  <c r="N204" i="5" l="1"/>
  <c r="R204" i="5" s="1"/>
  <c r="L204" i="5" l="1"/>
  <c r="Q204" i="5" s="1"/>
  <c r="O204" i="5" l="1"/>
  <c r="P204" i="5"/>
  <c r="K205" i="5" s="1"/>
  <c r="N205" i="5" l="1"/>
  <c r="R205" i="5" s="1"/>
  <c r="L205" i="5" l="1"/>
  <c r="Q205" i="5" s="1"/>
  <c r="O205" i="5" l="1"/>
  <c r="P205" i="5"/>
  <c r="K206" i="5" s="1"/>
  <c r="N206" i="5" l="1"/>
  <c r="R206" i="5" s="1"/>
  <c r="L206" i="5" l="1"/>
  <c r="Q206" i="5" s="1"/>
  <c r="O206" i="5" l="1"/>
  <c r="P206" i="5"/>
  <c r="K207" i="5" s="1"/>
  <c r="N207" i="5" l="1"/>
  <c r="R207" i="5" s="1"/>
  <c r="L207" i="5" l="1"/>
  <c r="Q207" i="5" s="1"/>
  <c r="O207" i="5" l="1"/>
  <c r="P207" i="5"/>
  <c r="K208" i="5" s="1"/>
  <c r="N208" i="5" l="1"/>
  <c r="R208" i="5" s="1"/>
  <c r="L208" i="5" l="1"/>
  <c r="Q208" i="5" s="1"/>
  <c r="O208" i="5" l="1"/>
  <c r="P208" i="5"/>
  <c r="K209" i="5" s="1"/>
  <c r="N209" i="5" l="1"/>
  <c r="R209" i="5" s="1"/>
  <c r="L209" i="5" l="1"/>
  <c r="Q209" i="5" s="1"/>
  <c r="O209" i="5" l="1"/>
  <c r="P209" i="5"/>
  <c r="K210" i="5" s="1"/>
  <c r="N210" i="5" l="1"/>
  <c r="R210" i="5" s="1"/>
  <c r="L210" i="5" l="1"/>
  <c r="Q210" i="5" s="1"/>
  <c r="O210" i="5" l="1"/>
  <c r="P210" i="5"/>
  <c r="K211" i="5" s="1"/>
  <c r="N211" i="5" l="1"/>
  <c r="R211" i="5" s="1"/>
  <c r="L211" i="5" l="1"/>
  <c r="Q211" i="5" s="1"/>
  <c r="O211" i="5" l="1"/>
  <c r="P211" i="5"/>
  <c r="K212" i="5" s="1"/>
  <c r="N212" i="5" l="1"/>
  <c r="R212" i="5" s="1"/>
  <c r="L212" i="5" l="1"/>
  <c r="Q212" i="5" s="1"/>
  <c r="O212" i="5" l="1"/>
  <c r="P212" i="5"/>
  <c r="K213" i="5" s="1"/>
  <c r="N213" i="5" l="1"/>
  <c r="R213" i="5" s="1"/>
  <c r="L213" i="5" l="1"/>
  <c r="Q213" i="5" s="1"/>
  <c r="O213" i="5" l="1"/>
  <c r="P213" i="5"/>
  <c r="K214" i="5" s="1"/>
  <c r="N214" i="5" l="1"/>
  <c r="R214" i="5" s="1"/>
  <c r="L214" i="5" l="1"/>
  <c r="Q214" i="5" s="1"/>
  <c r="O214" i="5" l="1"/>
  <c r="P214" i="5"/>
  <c r="K215" i="5" s="1"/>
  <c r="N215" i="5" l="1"/>
  <c r="R215" i="5" s="1"/>
  <c r="L215" i="5" l="1"/>
  <c r="Q215" i="5" s="1"/>
  <c r="O215" i="5" l="1"/>
  <c r="P215" i="5"/>
  <c r="K216" i="5" s="1"/>
  <c r="N216" i="5" l="1"/>
  <c r="R216" i="5" s="1"/>
  <c r="L216" i="5" l="1"/>
  <c r="Q216" i="5" s="1"/>
  <c r="O216" i="5" l="1"/>
  <c r="P216" i="5"/>
  <c r="K217" i="5" s="1"/>
  <c r="N217" i="5" l="1"/>
  <c r="R217" i="5" s="1"/>
  <c r="L217" i="5" l="1"/>
  <c r="Q217" i="5" s="1"/>
  <c r="O217" i="5" l="1"/>
  <c r="P217" i="5"/>
  <c r="K218" i="5" s="1"/>
  <c r="N218" i="5" l="1"/>
  <c r="R218" i="5" s="1"/>
  <c r="L218" i="5" l="1"/>
  <c r="Q218" i="5" s="1"/>
  <c r="O218" i="5" l="1"/>
  <c r="P218" i="5"/>
  <c r="K219" i="5" s="1"/>
  <c r="N219" i="5" l="1"/>
  <c r="R219" i="5" s="1"/>
  <c r="L219" i="5" l="1"/>
  <c r="Q219" i="5" s="1"/>
  <c r="O219" i="5" l="1"/>
  <c r="P219" i="5"/>
  <c r="K220" i="5" s="1"/>
  <c r="N220" i="5" l="1"/>
  <c r="R220" i="5" s="1"/>
  <c r="L220" i="5" l="1"/>
  <c r="Q220" i="5" s="1"/>
  <c r="O220" i="5" l="1"/>
  <c r="P220" i="5"/>
  <c r="K221" i="5" s="1"/>
  <c r="N221" i="5" l="1"/>
  <c r="R221" i="5" s="1"/>
  <c r="L221" i="5" l="1"/>
  <c r="Q221" i="5" s="1"/>
  <c r="O221" i="5" l="1"/>
  <c r="P221" i="5"/>
  <c r="K222" i="5" s="1"/>
  <c r="N222" i="5" l="1"/>
  <c r="R222" i="5" s="1"/>
  <c r="L222" i="5" l="1"/>
  <c r="Q222" i="5" s="1"/>
  <c r="O222" i="5" l="1"/>
  <c r="P222" i="5"/>
  <c r="K223" i="5" s="1"/>
  <c r="N223" i="5" l="1"/>
  <c r="R223" i="5" s="1"/>
  <c r="L223" i="5" l="1"/>
  <c r="Q223" i="5" s="1"/>
  <c r="O223" i="5" l="1"/>
  <c r="P223" i="5"/>
  <c r="K224" i="5" s="1"/>
  <c r="N224" i="5" l="1"/>
  <c r="R224" i="5" s="1"/>
  <c r="L224" i="5" l="1"/>
  <c r="Q224" i="5" s="1"/>
  <c r="O224" i="5" l="1"/>
  <c r="P224" i="5"/>
  <c r="K225" i="5" s="1"/>
  <c r="N225" i="5" l="1"/>
  <c r="R225" i="5" s="1"/>
  <c r="L225" i="5" l="1"/>
  <c r="Q225" i="5" s="1"/>
  <c r="O225" i="5" l="1"/>
  <c r="P225" i="5"/>
  <c r="K226" i="5" s="1"/>
  <c r="N226" i="5" l="1"/>
  <c r="R226" i="5" s="1"/>
  <c r="L226" i="5" l="1"/>
  <c r="Q226" i="5" s="1"/>
  <c r="O226" i="5" l="1"/>
  <c r="P226" i="5"/>
  <c r="K227" i="5" s="1"/>
  <c r="N227" i="5" l="1"/>
  <c r="R227" i="5" s="1"/>
  <c r="L227" i="5" l="1"/>
  <c r="Q227" i="5" s="1"/>
  <c r="O227" i="5" l="1"/>
  <c r="P227" i="5"/>
  <c r="K228" i="5" s="1"/>
  <c r="N228" i="5" l="1"/>
  <c r="R228" i="5" s="1"/>
  <c r="L228" i="5" l="1"/>
  <c r="Q228" i="5" s="1"/>
  <c r="O228" i="5" l="1"/>
  <c r="P228" i="5"/>
  <c r="K229" i="5" s="1"/>
  <c r="N229" i="5" l="1"/>
  <c r="R229" i="5" s="1"/>
  <c r="L229" i="5" l="1"/>
  <c r="Q229" i="5" s="1"/>
  <c r="O229" i="5" l="1"/>
  <c r="P229" i="5"/>
  <c r="K230" i="5" s="1"/>
  <c r="N230" i="5" l="1"/>
  <c r="R230" i="5" s="1"/>
  <c r="L230" i="5" l="1"/>
  <c r="Q230" i="5" s="1"/>
  <c r="O230" i="5" l="1"/>
  <c r="P230" i="5"/>
  <c r="K231" i="5" s="1"/>
  <c r="N231" i="5" l="1"/>
  <c r="R231" i="5" s="1"/>
  <c r="L231" i="5" l="1"/>
  <c r="Q231" i="5" s="1"/>
  <c r="O231" i="5" l="1"/>
  <c r="P231" i="5"/>
  <c r="K232" i="5" s="1"/>
  <c r="N232" i="5" l="1"/>
  <c r="R232" i="5" s="1"/>
  <c r="L232" i="5" l="1"/>
  <c r="Q232" i="5" s="1"/>
  <c r="O232" i="5" l="1"/>
  <c r="P232" i="5"/>
  <c r="K233" i="5" s="1"/>
  <c r="N233" i="5" l="1"/>
  <c r="R233" i="5" s="1"/>
  <c r="L233" i="5" l="1"/>
  <c r="Q233" i="5" s="1"/>
  <c r="O233" i="5" l="1"/>
  <c r="P233" i="5"/>
  <c r="K234" i="5" s="1"/>
  <c r="N234" i="5" l="1"/>
  <c r="R234" i="5" s="1"/>
  <c r="L234" i="5" l="1"/>
  <c r="Q234" i="5" s="1"/>
  <c r="O234" i="5" l="1"/>
  <c r="P234" i="5"/>
  <c r="K235" i="5" s="1"/>
  <c r="N235" i="5" l="1"/>
  <c r="R235" i="5" s="1"/>
  <c r="L235" i="5" l="1"/>
  <c r="Q235" i="5" s="1"/>
  <c r="O235" i="5" l="1"/>
  <c r="P235" i="5"/>
  <c r="K236" i="5" s="1"/>
  <c r="N236" i="5" l="1"/>
  <c r="R236" i="5" s="1"/>
  <c r="L236" i="5" l="1"/>
  <c r="Q236" i="5" s="1"/>
  <c r="O236" i="5" l="1"/>
  <c r="P236" i="5"/>
  <c r="K237" i="5" s="1"/>
  <c r="N237" i="5" l="1"/>
  <c r="R237" i="5" s="1"/>
  <c r="L237" i="5" l="1"/>
  <c r="Q237" i="5" s="1"/>
  <c r="O237" i="5" l="1"/>
  <c r="P237" i="5"/>
  <c r="K238" i="5" s="1"/>
  <c r="N238" i="5" l="1"/>
  <c r="R238" i="5" s="1"/>
  <c r="L238" i="5" l="1"/>
  <c r="Q238" i="5" s="1"/>
  <c r="O238" i="5" l="1"/>
  <c r="P238" i="5"/>
  <c r="K239" i="5" s="1"/>
  <c r="N239" i="5" l="1"/>
  <c r="R239" i="5" s="1"/>
  <c r="L239" i="5" l="1"/>
  <c r="Q239" i="5" s="1"/>
  <c r="O239" i="5" l="1"/>
  <c r="P239" i="5"/>
  <c r="K240" i="5" s="1"/>
  <c r="N240" i="5" l="1"/>
  <c r="R240" i="5" s="1"/>
  <c r="L240" i="5" l="1"/>
  <c r="Q240" i="5" s="1"/>
  <c r="O240" i="5" l="1"/>
  <c r="P240" i="5"/>
  <c r="K241" i="5" s="1"/>
  <c r="N241" i="5" l="1"/>
  <c r="R241" i="5" s="1"/>
  <c r="L241" i="5" l="1"/>
  <c r="Q241" i="5" s="1"/>
  <c r="O241" i="5" l="1"/>
  <c r="P241" i="5"/>
  <c r="K242" i="5" s="1"/>
  <c r="N242" i="5" l="1"/>
  <c r="R242" i="5" s="1"/>
  <c r="L242" i="5" l="1"/>
  <c r="Q242" i="5" s="1"/>
  <c r="O242" i="5" l="1"/>
  <c r="P242" i="5"/>
  <c r="K243" i="5" s="1"/>
  <c r="N243" i="5" l="1"/>
  <c r="R243" i="5" s="1"/>
  <c r="L243" i="5" l="1"/>
  <c r="Q243" i="5" s="1"/>
  <c r="O243" i="5" l="1"/>
  <c r="P243" i="5"/>
  <c r="K244" i="5" s="1"/>
  <c r="N244" i="5" l="1"/>
  <c r="R244" i="5" s="1"/>
  <c r="L244" i="5" l="1"/>
  <c r="Q244" i="5" s="1"/>
  <c r="O244" i="5" l="1"/>
  <c r="P244" i="5"/>
  <c r="K245" i="5" s="1"/>
  <c r="N245" i="5" l="1"/>
  <c r="R245" i="5" s="1"/>
  <c r="L245" i="5" l="1"/>
  <c r="Q245" i="5" s="1"/>
  <c r="O245" i="5" l="1"/>
  <c r="P245" i="5"/>
  <c r="K246" i="5" s="1"/>
  <c r="N246" i="5" l="1"/>
  <c r="R246" i="5" s="1"/>
  <c r="L246" i="5" l="1"/>
  <c r="Q246" i="5" s="1"/>
  <c r="O246" i="5" l="1"/>
  <c r="P246" i="5"/>
  <c r="K247" i="5" s="1"/>
  <c r="N247" i="5" l="1"/>
  <c r="R247" i="5" s="1"/>
  <c r="L247" i="5" l="1"/>
  <c r="Q247" i="5" s="1"/>
  <c r="O247" i="5" l="1"/>
  <c r="P247" i="5"/>
  <c r="K248" i="5" s="1"/>
  <c r="N248" i="5" l="1"/>
  <c r="R248" i="5" s="1"/>
  <c r="L248" i="5" l="1"/>
  <c r="Q248" i="5" s="1"/>
  <c r="O248" i="5" l="1"/>
  <c r="P248" i="5"/>
  <c r="K249" i="5" s="1"/>
  <c r="N249" i="5" l="1"/>
  <c r="R249" i="5" s="1"/>
  <c r="L249" i="5" l="1"/>
  <c r="Q249" i="5" s="1"/>
  <c r="O249" i="5" l="1"/>
  <c r="P249" i="5"/>
  <c r="K250" i="5" s="1"/>
  <c r="N250" i="5" l="1"/>
  <c r="R250" i="5" s="1"/>
  <c r="L250" i="5" l="1"/>
  <c r="Q250" i="5" s="1"/>
  <c r="O250" i="5" l="1"/>
  <c r="P250" i="5"/>
  <c r="K251" i="5" s="1"/>
  <c r="N251" i="5" l="1"/>
  <c r="R251" i="5" s="1"/>
  <c r="L251" i="5" l="1"/>
  <c r="Q251" i="5" s="1"/>
  <c r="O251" i="5" l="1"/>
  <c r="P251" i="5"/>
  <c r="K252" i="5" s="1"/>
  <c r="N252" i="5" l="1"/>
  <c r="R252" i="5" s="1"/>
  <c r="L252" i="5" l="1"/>
  <c r="Q252" i="5" s="1"/>
  <c r="O252" i="5" l="1"/>
  <c r="P252" i="5"/>
  <c r="K253" i="5" s="1"/>
  <c r="N253" i="5" l="1"/>
  <c r="R253" i="5" s="1"/>
  <c r="L253" i="5" l="1"/>
  <c r="Q253" i="5" s="1"/>
  <c r="O253" i="5" l="1"/>
  <c r="P253" i="5"/>
  <c r="K254" i="5" s="1"/>
  <c r="N254" i="5" l="1"/>
  <c r="R254" i="5" s="1"/>
  <c r="L254" i="5" l="1"/>
  <c r="Q254" i="5" s="1"/>
  <c r="O254" i="5" l="1"/>
  <c r="P254" i="5"/>
  <c r="K255" i="5" s="1"/>
  <c r="N255" i="5" l="1"/>
  <c r="R255" i="5" s="1"/>
  <c r="L255" i="5" l="1"/>
  <c r="Q255" i="5" s="1"/>
  <c r="O255" i="5" l="1"/>
  <c r="P255" i="5"/>
  <c r="K256" i="5" s="1"/>
  <c r="N256" i="5" l="1"/>
  <c r="R256" i="5" s="1"/>
  <c r="L256" i="5" l="1"/>
  <c r="Q256" i="5" s="1"/>
  <c r="O256" i="5" l="1"/>
  <c r="P256" i="5"/>
  <c r="K257" i="5" s="1"/>
  <c r="N257" i="5" l="1"/>
  <c r="R257" i="5" s="1"/>
  <c r="L257" i="5" l="1"/>
  <c r="Q257" i="5" s="1"/>
  <c r="O257" i="5" l="1"/>
  <c r="P257" i="5"/>
  <c r="K258" i="5" s="1"/>
  <c r="N258" i="5" l="1"/>
  <c r="R258" i="5" s="1"/>
  <c r="L258" i="5" l="1"/>
  <c r="Q258" i="5" s="1"/>
  <c r="O258" i="5" l="1"/>
  <c r="P258" i="5"/>
  <c r="K259" i="5" s="1"/>
  <c r="N259" i="5" l="1"/>
  <c r="R259" i="5" s="1"/>
  <c r="L259" i="5" l="1"/>
  <c r="Q259" i="5" s="1"/>
  <c r="O259" i="5" l="1"/>
  <c r="P259" i="5"/>
  <c r="K260" i="5" s="1"/>
  <c r="N260" i="5" l="1"/>
  <c r="R260" i="5" s="1"/>
  <c r="L260" i="5" l="1"/>
  <c r="Q260" i="5" s="1"/>
  <c r="O260" i="5" l="1"/>
  <c r="P260" i="5"/>
  <c r="K261" i="5" s="1"/>
  <c r="N261" i="5" l="1"/>
  <c r="R261" i="5" s="1"/>
  <c r="L261" i="5" l="1"/>
  <c r="Q261" i="5" s="1"/>
  <c r="O261" i="5" l="1"/>
  <c r="P261" i="5"/>
  <c r="K262" i="5" s="1"/>
  <c r="N262" i="5" l="1"/>
  <c r="R262" i="5" s="1"/>
  <c r="L262" i="5" l="1"/>
  <c r="Q262" i="5" s="1"/>
  <c r="O262" i="5" l="1"/>
  <c r="P262" i="5"/>
  <c r="K263" i="5" s="1"/>
  <c r="N263" i="5" l="1"/>
  <c r="R263" i="5" s="1"/>
  <c r="L263" i="5" l="1"/>
  <c r="Q263" i="5" s="1"/>
  <c r="O263" i="5" l="1"/>
  <c r="P263" i="5"/>
  <c r="K264" i="5" s="1"/>
  <c r="N264" i="5" l="1"/>
  <c r="R264" i="5" s="1"/>
  <c r="L264" i="5" l="1"/>
  <c r="Q264" i="5" s="1"/>
  <c r="O264" i="5" l="1"/>
  <c r="P264" i="5"/>
  <c r="K265" i="5" s="1"/>
  <c r="N265" i="5" l="1"/>
  <c r="R265" i="5" s="1"/>
  <c r="L265" i="5" l="1"/>
  <c r="Q265" i="5" s="1"/>
  <c r="O265" i="5" l="1"/>
  <c r="P265" i="5"/>
  <c r="K266" i="5" s="1"/>
  <c r="N266" i="5" l="1"/>
  <c r="R266" i="5" s="1"/>
  <c r="L266" i="5" l="1"/>
  <c r="Q266" i="5" s="1"/>
  <c r="O266" i="5" l="1"/>
  <c r="P266" i="5"/>
  <c r="K267" i="5" s="1"/>
  <c r="N267" i="5" l="1"/>
  <c r="R267" i="5" s="1"/>
  <c r="L267" i="5" l="1"/>
  <c r="Q267" i="5" s="1"/>
  <c r="O267" i="5" l="1"/>
  <c r="P267" i="5"/>
  <c r="K268" i="5" s="1"/>
  <c r="N268" i="5" l="1"/>
  <c r="R268" i="5" s="1"/>
  <c r="L268" i="5" l="1"/>
  <c r="Q268" i="5" s="1"/>
  <c r="O268" i="5" l="1"/>
  <c r="P268" i="5"/>
  <c r="K269" i="5" s="1"/>
  <c r="N269" i="5" l="1"/>
  <c r="R269" i="5" s="1"/>
  <c r="L269" i="5" l="1"/>
  <c r="Q269" i="5" s="1"/>
  <c r="O269" i="5" l="1"/>
  <c r="P269" i="5"/>
  <c r="K270" i="5" s="1"/>
  <c r="N270" i="5" l="1"/>
  <c r="R270" i="5" s="1"/>
  <c r="L270" i="5" l="1"/>
  <c r="Q270" i="5" s="1"/>
  <c r="O270" i="5" l="1"/>
  <c r="P270" i="5"/>
  <c r="K271" i="5" s="1"/>
  <c r="N271" i="5" l="1"/>
  <c r="R271" i="5" s="1"/>
  <c r="L271" i="5" l="1"/>
  <c r="Q271" i="5" s="1"/>
  <c r="O271" i="5" l="1"/>
  <c r="P271" i="5"/>
  <c r="K272" i="5" s="1"/>
  <c r="N272" i="5" l="1"/>
  <c r="R272" i="5" s="1"/>
  <c r="L272" i="5" l="1"/>
  <c r="Q272" i="5" s="1"/>
  <c r="O272" i="5" l="1"/>
  <c r="P272" i="5"/>
  <c r="K273" i="5" s="1"/>
  <c r="N273" i="5" l="1"/>
  <c r="R273" i="5" s="1"/>
  <c r="L273" i="5" l="1"/>
  <c r="Q273" i="5" s="1"/>
  <c r="O273" i="5" l="1"/>
  <c r="P273" i="5"/>
  <c r="K274" i="5" s="1"/>
  <c r="N274" i="5" l="1"/>
  <c r="R274" i="5" s="1"/>
  <c r="L274" i="5" l="1"/>
  <c r="Q274" i="5" s="1"/>
  <c r="O274" i="5" l="1"/>
  <c r="P274" i="5"/>
  <c r="K275" i="5" s="1"/>
  <c r="N275" i="5" l="1"/>
  <c r="R275" i="5" s="1"/>
  <c r="L275" i="5" l="1"/>
  <c r="Q275" i="5" s="1"/>
  <c r="O275" i="5" l="1"/>
  <c r="P275" i="5"/>
  <c r="K276" i="5" s="1"/>
  <c r="N276" i="5" l="1"/>
  <c r="R276" i="5" s="1"/>
  <c r="L276" i="5" l="1"/>
  <c r="Q276" i="5" s="1"/>
  <c r="O276" i="5" l="1"/>
  <c r="P276" i="5"/>
  <c r="K277" i="5" s="1"/>
  <c r="N277" i="5" l="1"/>
  <c r="R277" i="5" s="1"/>
  <c r="L277" i="5" l="1"/>
  <c r="Q277" i="5" s="1"/>
  <c r="O277" i="5" l="1"/>
  <c r="P277" i="5"/>
  <c r="K278" i="5" s="1"/>
  <c r="N278" i="5" l="1"/>
  <c r="R278" i="5" s="1"/>
  <c r="L278" i="5" l="1"/>
  <c r="Q278" i="5" s="1"/>
  <c r="O278" i="5" l="1"/>
  <c r="P278" i="5"/>
  <c r="K279" i="5" s="1"/>
  <c r="N279" i="5" l="1"/>
  <c r="R279" i="5" s="1"/>
  <c r="L279" i="5" l="1"/>
  <c r="Q279" i="5" s="1"/>
  <c r="O279" i="5" l="1"/>
  <c r="P279" i="5"/>
  <c r="K280" i="5" s="1"/>
  <c r="N280" i="5" l="1"/>
  <c r="R280" i="5" s="1"/>
  <c r="L280" i="5" l="1"/>
  <c r="Q280" i="5" s="1"/>
  <c r="O280" i="5" l="1"/>
  <c r="P280" i="5"/>
  <c r="K281" i="5" s="1"/>
  <c r="N281" i="5" l="1"/>
  <c r="R281" i="5" s="1"/>
  <c r="L281" i="5" l="1"/>
  <c r="Q281" i="5" s="1"/>
  <c r="O281" i="5" l="1"/>
  <c r="P281" i="5"/>
  <c r="K282" i="5" s="1"/>
  <c r="N282" i="5" l="1"/>
  <c r="R282" i="5" s="1"/>
  <c r="L282" i="5" l="1"/>
  <c r="Q282" i="5" s="1"/>
  <c r="O282" i="5" l="1"/>
  <c r="P282" i="5"/>
  <c r="K283" i="5" s="1"/>
  <c r="N283" i="5" l="1"/>
  <c r="R283" i="5" s="1"/>
  <c r="L283" i="5" l="1"/>
  <c r="Q283" i="5" s="1"/>
  <c r="O283" i="5" l="1"/>
  <c r="P283" i="5"/>
  <c r="K284" i="5" s="1"/>
  <c r="N284" i="5" l="1"/>
  <c r="R284" i="5" s="1"/>
  <c r="L284" i="5" l="1"/>
  <c r="Q284" i="5" s="1"/>
  <c r="O284" i="5" l="1"/>
  <c r="P284" i="5"/>
  <c r="K285" i="5" s="1"/>
  <c r="N285" i="5" l="1"/>
  <c r="R285" i="5" s="1"/>
  <c r="L285" i="5" l="1"/>
  <c r="Q285" i="5" s="1"/>
  <c r="O285" i="5" l="1"/>
  <c r="P285" i="5"/>
  <c r="K286" i="5" s="1"/>
  <c r="N286" i="5" l="1"/>
  <c r="R286" i="5" s="1"/>
  <c r="L286" i="5" l="1"/>
  <c r="Q286" i="5" s="1"/>
  <c r="O286" i="5" l="1"/>
  <c r="P286" i="5"/>
  <c r="K287" i="5" s="1"/>
  <c r="N287" i="5" l="1"/>
  <c r="R287" i="5" s="1"/>
  <c r="L287" i="5" l="1"/>
  <c r="Q287" i="5" s="1"/>
  <c r="O287" i="5" l="1"/>
  <c r="P287" i="5"/>
  <c r="K288" i="5" s="1"/>
  <c r="N288" i="5" l="1"/>
  <c r="R288" i="5" s="1"/>
  <c r="L288" i="5" l="1"/>
  <c r="Q288" i="5" s="1"/>
  <c r="O288" i="5" l="1"/>
  <c r="P288" i="5"/>
  <c r="K289" i="5" s="1"/>
  <c r="N289" i="5" l="1"/>
  <c r="R289" i="5" s="1"/>
  <c r="L289" i="5" l="1"/>
  <c r="Q289" i="5" s="1"/>
  <c r="O289" i="5" l="1"/>
  <c r="P289" i="5"/>
  <c r="K290" i="5" s="1"/>
  <c r="N290" i="5" l="1"/>
  <c r="R290" i="5" s="1"/>
  <c r="L290" i="5" l="1"/>
  <c r="Q290" i="5" s="1"/>
  <c r="O290" i="5" l="1"/>
  <c r="P290" i="5"/>
  <c r="K291" i="5" s="1"/>
  <c r="N291" i="5" l="1"/>
  <c r="R291" i="5" s="1"/>
  <c r="L291" i="5" l="1"/>
  <c r="Q291" i="5" s="1"/>
  <c r="O291" i="5" l="1"/>
  <c r="P291" i="5"/>
  <c r="K292" i="5" s="1"/>
  <c r="N292" i="5" l="1"/>
  <c r="R292" i="5" s="1"/>
  <c r="L292" i="5" l="1"/>
  <c r="Q292" i="5" s="1"/>
  <c r="O292" i="5" l="1"/>
  <c r="P292" i="5"/>
  <c r="K293" i="5" s="1"/>
  <c r="N293" i="5" l="1"/>
  <c r="R293" i="5" s="1"/>
  <c r="L293" i="5" l="1"/>
  <c r="Q293" i="5" s="1"/>
  <c r="O293" i="5" l="1"/>
  <c r="P293" i="5"/>
  <c r="K294" i="5" s="1"/>
  <c r="N294" i="5" l="1"/>
  <c r="R294" i="5" s="1"/>
  <c r="L294" i="5" l="1"/>
  <c r="Q294" i="5" s="1"/>
  <c r="O294" i="5" l="1"/>
  <c r="P294" i="5"/>
  <c r="K295" i="5" s="1"/>
  <c r="N295" i="5" l="1"/>
  <c r="R295" i="5" s="1"/>
  <c r="L295" i="5" l="1"/>
  <c r="Q295" i="5" s="1"/>
  <c r="O295" i="5" l="1"/>
  <c r="P295" i="5"/>
  <c r="K296" i="5" s="1"/>
  <c r="N296" i="5" l="1"/>
  <c r="R296" i="5" s="1"/>
  <c r="L296" i="5" l="1"/>
  <c r="Q296" i="5" s="1"/>
  <c r="O296" i="5" l="1"/>
  <c r="P296" i="5"/>
  <c r="K297" i="5" s="1"/>
  <c r="N297" i="5" l="1"/>
  <c r="R297" i="5" s="1"/>
  <c r="L297" i="5" l="1"/>
  <c r="Q297" i="5" s="1"/>
  <c r="O297" i="5" l="1"/>
  <c r="P297" i="5"/>
  <c r="K298" i="5" s="1"/>
  <c r="N298" i="5" l="1"/>
  <c r="R298" i="5" s="1"/>
  <c r="L298" i="5" l="1"/>
  <c r="Q298" i="5" s="1"/>
  <c r="O298" i="5" l="1"/>
  <c r="P298" i="5"/>
  <c r="K299" i="5" s="1"/>
  <c r="N299" i="5" l="1"/>
  <c r="R299" i="5" s="1"/>
  <c r="L299" i="5" l="1"/>
  <c r="Q299" i="5" s="1"/>
  <c r="O299" i="5" l="1"/>
  <c r="P299" i="5"/>
  <c r="K300" i="5" s="1"/>
  <c r="N300" i="5" l="1"/>
  <c r="R300" i="5" s="1"/>
  <c r="L300" i="5" l="1"/>
  <c r="Q300" i="5" s="1"/>
  <c r="O300" i="5" l="1"/>
  <c r="P300" i="5"/>
  <c r="K301" i="5" s="1"/>
  <c r="N301" i="5" l="1"/>
  <c r="R301" i="5" s="1"/>
  <c r="L301" i="5" l="1"/>
  <c r="Q301" i="5" s="1"/>
  <c r="O301" i="5" l="1"/>
  <c r="P301" i="5"/>
  <c r="K302" i="5" s="1"/>
  <c r="N302" i="5" l="1"/>
  <c r="R302" i="5" s="1"/>
  <c r="L302" i="5" l="1"/>
  <c r="Q302" i="5" s="1"/>
  <c r="O302" i="5" l="1"/>
  <c r="P302" i="5"/>
  <c r="K303" i="5" s="1"/>
  <c r="N303" i="5" l="1"/>
  <c r="R303" i="5" s="1"/>
  <c r="L303" i="5" l="1"/>
  <c r="Q303" i="5" s="1"/>
  <c r="O303" i="5" l="1"/>
  <c r="P303" i="5"/>
  <c r="K304" i="5" s="1"/>
  <c r="N304" i="5" l="1"/>
  <c r="R304" i="5" s="1"/>
  <c r="L304" i="5" l="1"/>
  <c r="Q304" i="5" s="1"/>
  <c r="O304" i="5" l="1"/>
  <c r="P304" i="5"/>
  <c r="K305" i="5" s="1"/>
  <c r="N305" i="5" l="1"/>
  <c r="R305" i="5" s="1"/>
  <c r="L305" i="5" l="1"/>
  <c r="Q305" i="5" s="1"/>
  <c r="O305" i="5" l="1"/>
  <c r="P305" i="5"/>
  <c r="K306" i="5" s="1"/>
  <c r="N306" i="5" l="1"/>
  <c r="R306" i="5" s="1"/>
  <c r="L306" i="5" l="1"/>
  <c r="Q306" i="5" s="1"/>
  <c r="O306" i="5" l="1"/>
  <c r="P306" i="5"/>
  <c r="K307" i="5" s="1"/>
  <c r="N307" i="5" l="1"/>
  <c r="R307" i="5" s="1"/>
  <c r="L307" i="5" l="1"/>
  <c r="Q307" i="5" s="1"/>
  <c r="O307" i="5" l="1"/>
  <c r="P307" i="5"/>
  <c r="K308" i="5" s="1"/>
  <c r="N308" i="5" l="1"/>
  <c r="R308" i="5" s="1"/>
  <c r="L308" i="5" l="1"/>
  <c r="Q308" i="5" s="1"/>
  <c r="O308" i="5" l="1"/>
  <c r="P308" i="5"/>
  <c r="K309" i="5" s="1"/>
  <c r="N309" i="5" l="1"/>
  <c r="R309" i="5" s="1"/>
  <c r="L309" i="5" l="1"/>
  <c r="Q309" i="5" s="1"/>
  <c r="O309" i="5" l="1"/>
  <c r="P309" i="5"/>
  <c r="K310" i="5" s="1"/>
  <c r="N310" i="5" l="1"/>
  <c r="R310" i="5" s="1"/>
  <c r="L310" i="5" l="1"/>
  <c r="Q310" i="5" s="1"/>
  <c r="O310" i="5" l="1"/>
  <c r="P310" i="5"/>
  <c r="K311" i="5" s="1"/>
  <c r="N311" i="5" l="1"/>
  <c r="R311" i="5" s="1"/>
  <c r="L311" i="5" l="1"/>
  <c r="Q311" i="5" s="1"/>
  <c r="O311" i="5" l="1"/>
  <c r="P311" i="5"/>
  <c r="K312" i="5" s="1"/>
  <c r="N312" i="5" l="1"/>
  <c r="R312" i="5" s="1"/>
  <c r="L312" i="5" l="1"/>
  <c r="Q312" i="5" s="1"/>
  <c r="O312" i="5" l="1"/>
  <c r="P312" i="5"/>
  <c r="K313" i="5" s="1"/>
  <c r="N313" i="5" l="1"/>
  <c r="R313" i="5" s="1"/>
  <c r="L313" i="5" l="1"/>
  <c r="Q313" i="5" s="1"/>
  <c r="O313" i="5" l="1"/>
  <c r="P313" i="5"/>
  <c r="K314" i="5" s="1"/>
  <c r="N314" i="5" l="1"/>
  <c r="R314" i="5" s="1"/>
  <c r="L314" i="5" l="1"/>
  <c r="Q314" i="5" s="1"/>
  <c r="O314" i="5" l="1"/>
  <c r="P314" i="5"/>
  <c r="K315" i="5" s="1"/>
  <c r="N315" i="5" l="1"/>
  <c r="R315" i="5" s="1"/>
  <c r="L315" i="5" l="1"/>
  <c r="Q315" i="5" s="1"/>
  <c r="O315" i="5" l="1"/>
  <c r="P315" i="5"/>
  <c r="K316" i="5" s="1"/>
  <c r="N316" i="5" l="1"/>
  <c r="R316" i="5" s="1"/>
  <c r="L316" i="5" l="1"/>
  <c r="Q316" i="5" s="1"/>
  <c r="O316" i="5" l="1"/>
  <c r="P316" i="5"/>
  <c r="K317" i="5" s="1"/>
  <c r="N317" i="5" l="1"/>
  <c r="R317" i="5" s="1"/>
  <c r="L317" i="5" l="1"/>
  <c r="Q317" i="5" s="1"/>
  <c r="O317" i="5" l="1"/>
  <c r="P317" i="5"/>
  <c r="K318" i="5" s="1"/>
  <c r="N318" i="5" l="1"/>
  <c r="R318" i="5" s="1"/>
  <c r="L318" i="5" l="1"/>
  <c r="Q318" i="5" s="1"/>
  <c r="O318" i="5" l="1"/>
  <c r="P318" i="5"/>
  <c r="K319" i="5" s="1"/>
  <c r="N319" i="5" l="1"/>
  <c r="R319" i="5" s="1"/>
  <c r="L319" i="5" l="1"/>
  <c r="Q319" i="5" s="1"/>
  <c r="O319" i="5" l="1"/>
  <c r="P319" i="5"/>
  <c r="K320" i="5" s="1"/>
  <c r="N320" i="5" l="1"/>
  <c r="R320" i="5" s="1"/>
  <c r="L320" i="5" l="1"/>
  <c r="Q320" i="5" s="1"/>
  <c r="O320" i="5" l="1"/>
  <c r="P320" i="5"/>
  <c r="K321" i="5" s="1"/>
  <c r="N321" i="5" l="1"/>
  <c r="R321" i="5" s="1"/>
  <c r="L321" i="5" l="1"/>
  <c r="Q321" i="5" s="1"/>
  <c r="O321" i="5" l="1"/>
  <c r="P321" i="5"/>
  <c r="K322" i="5" s="1"/>
  <c r="N322" i="5" l="1"/>
  <c r="R322" i="5" s="1"/>
  <c r="L322" i="5" l="1"/>
  <c r="Q322" i="5" s="1"/>
  <c r="O322" i="5" l="1"/>
  <c r="P322" i="5"/>
  <c r="K323" i="5" s="1"/>
  <c r="N323" i="5" l="1"/>
  <c r="R323" i="5" s="1"/>
  <c r="L323" i="5" l="1"/>
  <c r="Q323" i="5" s="1"/>
  <c r="O323" i="5" l="1"/>
  <c r="P323" i="5"/>
  <c r="K324" i="5" s="1"/>
  <c r="N324" i="5" l="1"/>
  <c r="R324" i="5" s="1"/>
  <c r="L324" i="5" l="1"/>
  <c r="Q324" i="5" s="1"/>
  <c r="O324" i="5" l="1"/>
  <c r="P324" i="5"/>
  <c r="K325" i="5" s="1"/>
  <c r="N325" i="5" l="1"/>
  <c r="R325" i="5" s="1"/>
  <c r="L325" i="5" l="1"/>
  <c r="Q325" i="5" s="1"/>
  <c r="O325" i="5" l="1"/>
  <c r="P325" i="5"/>
  <c r="K326" i="5" s="1"/>
  <c r="N326" i="5" l="1"/>
  <c r="R326" i="5" s="1"/>
  <c r="L326" i="5" l="1"/>
  <c r="Q326" i="5" s="1"/>
  <c r="O326" i="5" l="1"/>
  <c r="P326" i="5"/>
  <c r="K327" i="5" s="1"/>
  <c r="N327" i="5" l="1"/>
  <c r="R327" i="5" s="1"/>
  <c r="L327" i="5" l="1"/>
  <c r="Q327" i="5" s="1"/>
  <c r="O327" i="5" l="1"/>
  <c r="P327" i="5"/>
  <c r="K328" i="5" s="1"/>
  <c r="N328" i="5" l="1"/>
  <c r="R328" i="5" s="1"/>
  <c r="L328" i="5" l="1"/>
  <c r="Q328" i="5" s="1"/>
  <c r="O328" i="5" l="1"/>
  <c r="P328" i="5"/>
  <c r="K329" i="5" s="1"/>
  <c r="N329" i="5" l="1"/>
  <c r="R329" i="5" s="1"/>
  <c r="L329" i="5" l="1"/>
  <c r="Q329" i="5" s="1"/>
  <c r="O329" i="5" l="1"/>
  <c r="P329" i="5"/>
  <c r="K330" i="5" s="1"/>
  <c r="N330" i="5" l="1"/>
  <c r="R330" i="5" s="1"/>
  <c r="L330" i="5" l="1"/>
  <c r="Q330" i="5" s="1"/>
  <c r="O330" i="5" l="1"/>
  <c r="P330" i="5"/>
  <c r="K331" i="5" s="1"/>
  <c r="N331" i="5" l="1"/>
  <c r="R331" i="5" s="1"/>
  <c r="L331" i="5" l="1"/>
  <c r="Q331" i="5" s="1"/>
  <c r="O331" i="5" l="1"/>
  <c r="P331" i="5"/>
  <c r="K332" i="5" s="1"/>
  <c r="N332" i="5" l="1"/>
  <c r="R332" i="5" s="1"/>
  <c r="L332" i="5" l="1"/>
  <c r="Q332" i="5" s="1"/>
  <c r="O332" i="5" l="1"/>
  <c r="P332" i="5"/>
  <c r="K333" i="5" s="1"/>
  <c r="N333" i="5" l="1"/>
  <c r="R333" i="5" s="1"/>
  <c r="L333" i="5" l="1"/>
  <c r="Q333" i="5" s="1"/>
  <c r="O333" i="5" l="1"/>
  <c r="P333" i="5"/>
  <c r="K334" i="5" s="1"/>
  <c r="N334" i="5" l="1"/>
  <c r="R334" i="5" s="1"/>
  <c r="L334" i="5" l="1"/>
  <c r="Q334" i="5" s="1"/>
  <c r="O334" i="5" l="1"/>
  <c r="P334" i="5"/>
  <c r="K335" i="5" s="1"/>
  <c r="N335" i="5" l="1"/>
  <c r="R335" i="5" s="1"/>
  <c r="L335" i="5" l="1"/>
  <c r="Q335" i="5" s="1"/>
  <c r="O335" i="5" l="1"/>
  <c r="P335" i="5"/>
  <c r="K336" i="5" s="1"/>
  <c r="N336" i="5" l="1"/>
  <c r="R336" i="5" s="1"/>
  <c r="L336" i="5" l="1"/>
  <c r="Q336" i="5" s="1"/>
  <c r="O336" i="5" l="1"/>
  <c r="P336" i="5"/>
  <c r="K337" i="5" s="1"/>
  <c r="N337" i="5" l="1"/>
  <c r="R337" i="5" s="1"/>
  <c r="L337" i="5" l="1"/>
  <c r="Q337" i="5" s="1"/>
  <c r="O337" i="5" l="1"/>
  <c r="P337" i="5"/>
  <c r="K338" i="5" s="1"/>
  <c r="N338" i="5" l="1"/>
  <c r="R338" i="5" s="1"/>
  <c r="L338" i="5" l="1"/>
  <c r="Q338" i="5" s="1"/>
  <c r="O338" i="5" l="1"/>
  <c r="P338" i="5"/>
  <c r="K339" i="5" s="1"/>
  <c r="N339" i="5" l="1"/>
  <c r="R339" i="5" s="1"/>
  <c r="L339" i="5" l="1"/>
  <c r="Q339" i="5" s="1"/>
  <c r="O339" i="5" l="1"/>
  <c r="P339" i="5"/>
  <c r="K340" i="5" s="1"/>
  <c r="N340" i="5" l="1"/>
  <c r="R340" i="5" s="1"/>
  <c r="L340" i="5" l="1"/>
  <c r="Q340" i="5" s="1"/>
  <c r="O340" i="5" l="1"/>
  <c r="P340" i="5"/>
  <c r="K341" i="5" s="1"/>
  <c r="N341" i="5" l="1"/>
  <c r="R341" i="5" s="1"/>
  <c r="L341" i="5" l="1"/>
  <c r="Q341" i="5" s="1"/>
  <c r="O341" i="5" l="1"/>
  <c r="P341" i="5"/>
  <c r="K342" i="5" s="1"/>
  <c r="N342" i="5" l="1"/>
  <c r="R342" i="5" s="1"/>
  <c r="L342" i="5" l="1"/>
  <c r="Q342" i="5" s="1"/>
  <c r="O342" i="5" l="1"/>
  <c r="P342" i="5"/>
  <c r="K343" i="5" s="1"/>
  <c r="N343" i="5" l="1"/>
  <c r="R343" i="5" s="1"/>
  <c r="L343" i="5" l="1"/>
  <c r="Q343" i="5" s="1"/>
  <c r="O343" i="5" l="1"/>
  <c r="P343" i="5"/>
  <c r="K344" i="5" s="1"/>
  <c r="N344" i="5" l="1"/>
  <c r="R344" i="5" s="1"/>
  <c r="L344" i="5" l="1"/>
  <c r="Q344" i="5" s="1"/>
  <c r="O344" i="5" l="1"/>
  <c r="P344" i="5"/>
  <c r="K345" i="5" s="1"/>
  <c r="N345" i="5" l="1"/>
  <c r="R345" i="5" s="1"/>
  <c r="L345" i="5" l="1"/>
  <c r="Q345" i="5" s="1"/>
  <c r="O345" i="5" l="1"/>
  <c r="P345" i="5"/>
  <c r="K346" i="5" s="1"/>
  <c r="N346" i="5" l="1"/>
  <c r="R346" i="5" s="1"/>
  <c r="L346" i="5" l="1"/>
  <c r="Q346" i="5" s="1"/>
  <c r="O346" i="5" l="1"/>
  <c r="P346" i="5"/>
  <c r="K347" i="5" s="1"/>
  <c r="N347" i="5" l="1"/>
  <c r="R347" i="5" s="1"/>
  <c r="L347" i="5" l="1"/>
  <c r="Q347" i="5" s="1"/>
  <c r="O347" i="5" l="1"/>
  <c r="P347" i="5"/>
  <c r="K348" i="5" s="1"/>
  <c r="N348" i="5" l="1"/>
  <c r="R348" i="5" s="1"/>
  <c r="L348" i="5" l="1"/>
  <c r="Q348" i="5" s="1"/>
  <c r="O348" i="5" l="1"/>
  <c r="P348" i="5"/>
  <c r="K349" i="5" s="1"/>
  <c r="N349" i="5" l="1"/>
  <c r="R349" i="5" s="1"/>
  <c r="L349" i="5" l="1"/>
  <c r="Q349" i="5" s="1"/>
  <c r="O349" i="5" l="1"/>
  <c r="P349" i="5"/>
  <c r="K350" i="5" s="1"/>
  <c r="N350" i="5" l="1"/>
  <c r="R350" i="5" s="1"/>
  <c r="L350" i="5" l="1"/>
  <c r="Q350" i="5" s="1"/>
  <c r="O350" i="5" l="1"/>
  <c r="P350" i="5"/>
  <c r="K351" i="5" s="1"/>
  <c r="N351" i="5" l="1"/>
  <c r="R351" i="5" s="1"/>
  <c r="L351" i="5" l="1"/>
  <c r="Q351" i="5" s="1"/>
  <c r="O351" i="5" l="1"/>
  <c r="P351" i="5"/>
  <c r="K352" i="5" s="1"/>
  <c r="N352" i="5" l="1"/>
  <c r="R352" i="5" s="1"/>
  <c r="L352" i="5" l="1"/>
  <c r="Q352" i="5" s="1"/>
  <c r="O352" i="5" l="1"/>
  <c r="P352" i="5"/>
  <c r="K353" i="5" s="1"/>
  <c r="N353" i="5" l="1"/>
  <c r="R353" i="5" s="1"/>
  <c r="L353" i="5" l="1"/>
  <c r="Q353" i="5" s="1"/>
  <c r="O353" i="5" l="1"/>
  <c r="P353" i="5"/>
  <c r="K354" i="5" s="1"/>
  <c r="N354" i="5" l="1"/>
  <c r="R354" i="5" s="1"/>
  <c r="L354" i="5" l="1"/>
  <c r="Q354" i="5" s="1"/>
  <c r="O354" i="5" l="1"/>
  <c r="P354" i="5"/>
  <c r="K355" i="5" s="1"/>
  <c r="N355" i="5" l="1"/>
  <c r="R355" i="5" s="1"/>
  <c r="L355" i="5" l="1"/>
  <c r="Q355" i="5" s="1"/>
  <c r="O355" i="5" l="1"/>
  <c r="P355" i="5"/>
  <c r="K356" i="5" s="1"/>
  <c r="N356" i="5" l="1"/>
  <c r="R356" i="5" s="1"/>
  <c r="L356" i="5" l="1"/>
  <c r="Q356" i="5" s="1"/>
  <c r="O356" i="5" l="1"/>
  <c r="P356" i="5"/>
  <c r="K357" i="5" s="1"/>
  <c r="N357" i="5" l="1"/>
  <c r="R357" i="5" s="1"/>
  <c r="L357" i="5" l="1"/>
  <c r="Q357" i="5" s="1"/>
  <c r="O357" i="5" l="1"/>
  <c r="P357" i="5"/>
  <c r="K358" i="5" s="1"/>
  <c r="N358" i="5" l="1"/>
  <c r="R358" i="5" s="1"/>
  <c r="L358" i="5" l="1"/>
  <c r="Q358" i="5" s="1"/>
  <c r="O358" i="5" l="1"/>
  <c r="P358" i="5"/>
  <c r="K359" i="5" s="1"/>
  <c r="N359" i="5" l="1"/>
  <c r="R359" i="5" s="1"/>
  <c r="L359" i="5" l="1"/>
  <c r="Q359" i="5" s="1"/>
  <c r="O359" i="5" l="1"/>
  <c r="P359" i="5"/>
  <c r="K360" i="5" s="1"/>
  <c r="N360" i="5" l="1"/>
  <c r="R360" i="5" s="1"/>
  <c r="L360" i="5" l="1"/>
  <c r="Q360" i="5" s="1"/>
  <c r="O360" i="5" l="1"/>
  <c r="P360" i="5"/>
  <c r="K361" i="5" s="1"/>
  <c r="N361" i="5" l="1"/>
  <c r="R361" i="5" s="1"/>
  <c r="L361" i="5" l="1"/>
  <c r="Q361" i="5" s="1"/>
  <c r="O361" i="5" l="1"/>
  <c r="P361" i="5"/>
  <c r="K362" i="5" s="1"/>
  <c r="N362" i="5" l="1"/>
  <c r="R362" i="5" s="1"/>
  <c r="L362" i="5" l="1"/>
  <c r="Q362" i="5" s="1"/>
  <c r="O362" i="5" l="1"/>
  <c r="P362" i="5"/>
  <c r="K363" i="5" s="1"/>
  <c r="N363" i="5" l="1"/>
  <c r="R363" i="5" s="1"/>
  <c r="L363" i="5" l="1"/>
  <c r="Q363" i="5" s="1"/>
  <c r="O363" i="5" l="1"/>
  <c r="P363" i="5"/>
  <c r="B16" i="3" s="1"/>
  <c r="B17" i="3" l="1"/>
  <c r="C30" i="3" s="1"/>
  <c r="Q11" i="4" s="1"/>
  <c r="Q12" i="4" s="1"/>
  <c r="B21" i="3"/>
  <c r="P11" i="4" s="1"/>
  <c r="B22" i="3" l="1"/>
  <c r="B23" i="3" s="1"/>
  <c r="B20" i="3"/>
  <c r="B19" i="3"/>
  <c r="P12" i="4" l="1"/>
  <c r="O14" i="4" s="1"/>
</calcChain>
</file>

<file path=xl/sharedStrings.xml><?xml version="1.0" encoding="utf-8"?>
<sst xmlns="http://schemas.openxmlformats.org/spreadsheetml/2006/main" count="95" uniqueCount="87">
  <si>
    <t>Loan Amount</t>
  </si>
  <si>
    <t>Interest Rate</t>
  </si>
  <si>
    <t>Start Date</t>
  </si>
  <si>
    <t>Loan Duration (# Years)</t>
  </si>
  <si>
    <t>Comments</t>
  </si>
  <si>
    <t>Value</t>
  </si>
  <si>
    <t>Name</t>
  </si>
  <si>
    <t>Don't include downpayment, taxes, or insurance</t>
  </si>
  <si>
    <t>Taxes</t>
  </si>
  <si>
    <t>Annual Taxes</t>
  </si>
  <si>
    <t>Only for fixed interest rates</t>
  </si>
  <si>
    <t>Enter a value between 1 and 30 years</t>
  </si>
  <si>
    <t>Annual PMI</t>
  </si>
  <si>
    <t>Principal &amp; Interest</t>
  </si>
  <si>
    <t>PMI</t>
  </si>
  <si>
    <t>Homeowners Insurance</t>
  </si>
  <si>
    <t>Annual Homeowners Insurance</t>
  </si>
  <si>
    <t>Total Monthly Payment</t>
  </si>
  <si>
    <t>Monthly Payment Breakdown</t>
  </si>
  <si>
    <t>Amount</t>
  </si>
  <si>
    <t>% of Total</t>
  </si>
  <si>
    <t>Loan Will Be Paid Off By:</t>
  </si>
  <si>
    <t>Amortization Table</t>
  </si>
  <si>
    <t>PAYMENT #</t>
  </si>
  <si>
    <t>PAYMENT DATE</t>
  </si>
  <si>
    <t>BEGINNING BALANCE</t>
  </si>
  <si>
    <t>PRINCIPAL</t>
  </si>
  <si>
    <t>INTEREST</t>
  </si>
  <si>
    <t>TOTAL</t>
  </si>
  <si>
    <t>ENDING BALANCE</t>
  </si>
  <si>
    <t>CUMULATIVE PRINCIPAL</t>
  </si>
  <si>
    <t>CUMULATIVE INTEREST</t>
  </si>
  <si>
    <t>Scenario Analysis</t>
  </si>
  <si>
    <t>Most Recent Payment Made</t>
  </si>
  <si>
    <t># Payments Made</t>
  </si>
  <si>
    <t>Most Recent Payment</t>
  </si>
  <si>
    <t>Cumulative Principal Paid</t>
  </si>
  <si>
    <t>Loan Balance Remaining</t>
  </si>
  <si>
    <t>% of Principal Paid</t>
  </si>
  <si>
    <t>Cumulative Interest Paid</t>
  </si>
  <si>
    <t>Extra Monthly Payment</t>
  </si>
  <si>
    <t>Total Payments</t>
  </si>
  <si>
    <t>Payments Remaining</t>
  </si>
  <si>
    <t>EXTRA PAYMENT</t>
  </si>
  <si>
    <t>No Extra Monthly Payments</t>
  </si>
  <si>
    <t xml:space="preserve">BEGINNING BALANCE </t>
  </si>
  <si>
    <t xml:space="preserve">PRINCIPAL </t>
  </si>
  <si>
    <t xml:space="preserve">INTEREST </t>
  </si>
  <si>
    <t xml:space="preserve">TOTAL </t>
  </si>
  <si>
    <t xml:space="preserve">ENDING BALANCE </t>
  </si>
  <si>
    <t xml:space="preserve">CUMULATIVE PRINCIPAL </t>
  </si>
  <si>
    <t xml:space="preserve">CUMULATIVE INTEREST </t>
  </si>
  <si>
    <t>Column1</t>
  </si>
  <si>
    <t>Principal &amp; Interest Monthly Payment</t>
  </si>
  <si>
    <t>Scenario Modeling</t>
  </si>
  <si>
    <t>Total Principal Paid</t>
  </si>
  <si>
    <t>Total Amount Paid</t>
  </si>
  <si>
    <t># Payments Assuming Extra Monthly Payments</t>
  </si>
  <si>
    <t>Total Interest Paid</t>
  </si>
  <si>
    <t>Interest Saved</t>
  </si>
  <si>
    <t>Loan Shortened By</t>
  </si>
  <si>
    <t>Loan Shortened By Months</t>
  </si>
  <si>
    <t>Loan Shortened By Years</t>
  </si>
  <si>
    <t>% of Principal Remaining</t>
  </si>
  <si>
    <t>Gradient</t>
  </si>
  <si>
    <t>No Extra Payments</t>
  </si>
  <si>
    <t>Home Mortgage Dashboard</t>
  </si>
  <si>
    <t>Loan Metrics</t>
  </si>
  <si>
    <t>Monthly Payment Info</t>
  </si>
  <si>
    <t># Payments Remaining</t>
  </si>
  <si>
    <t>Time Saved</t>
  </si>
  <si>
    <t>Interest Paid</t>
  </si>
  <si>
    <t xml:space="preserve">Current </t>
  </si>
  <si>
    <t>Years</t>
  </si>
  <si>
    <t>Model</t>
  </si>
  <si>
    <r>
      <t xml:space="preserve">If prompted, please enable Macros by clicking </t>
    </r>
    <r>
      <rPr>
        <b/>
        <i/>
        <sz val="11"/>
        <color theme="1"/>
        <rFont val="Calibri"/>
        <family val="2"/>
        <scheme val="minor"/>
      </rPr>
      <t>Enable Content (seen below)</t>
    </r>
    <r>
      <rPr>
        <b/>
        <sz val="11"/>
        <color theme="1"/>
        <rFont val="Calibri"/>
        <family val="2"/>
        <scheme val="minor"/>
      </rPr>
      <t>.  This will allow the workbook to workbook to function properly</t>
    </r>
  </si>
  <si>
    <t>Questions/Comments/Errors?  Please email:</t>
  </si>
  <si>
    <t>Matt.Briskey@gmail.com</t>
  </si>
  <si>
    <t>Home Mortgage Tracker</t>
  </si>
  <si>
    <t>Used for scenario modeling</t>
  </si>
  <si>
    <t>Only change the values (yellow cells) on the Inputs tab</t>
  </si>
  <si>
    <t>Annual real estate taxes.  Monthly tax payment * 12</t>
  </si>
  <si>
    <t>Annual homeowners insurance.  Monthly homeowners insurance payment * 12</t>
  </si>
  <si>
    <t>Annual private mortgage insurance.  Monthly PMI payment * 12</t>
  </si>
  <si>
    <t>Used to compute how much principal has been paid and how much is remaining.  Enter date as M/D/YYYY</t>
  </si>
  <si>
    <t>Enter the date the first loan payment is due.  Enter date as M/D/YYYY</t>
  </si>
  <si>
    <r>
      <t xml:space="preserve">Amortization Table </t>
    </r>
    <r>
      <rPr>
        <sz val="11"/>
        <color theme="1"/>
        <rFont val="Calibri"/>
        <family val="2"/>
        <scheme val="minor"/>
      </rPr>
      <t>- shows the portion of each payment that goes towards principal and interest throughout the duration of the loan.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</si>
</sst>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0.000%"/>
    <numFmt numFmtId="166" formatCode="0.0%"/>
    <numFmt numFmtId="167" formatCode="_(* #,##0_);_(* \(#,##0\);_(* &quot;-&quot;??_);_(@_)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b/>
      <sz val="11"/>
      <color rgb="FF00B050"/>
      <name val="Arial"/>
      <family val="2"/>
    </font>
    <font>
      <b/>
      <sz val="11"/>
      <color theme="0"/>
      <name val="Arial"/>
      <family val="2"/>
    </font>
    <font>
      <sz val="11"/>
      <color theme="0"/>
      <name val="Arial"/>
      <family val="2"/>
    </font>
    <font>
      <b/>
      <sz val="16"/>
      <color theme="0"/>
      <name val="Arial"/>
      <family val="2"/>
    </font>
    <font>
      <sz val="14"/>
      <color theme="1"/>
      <name val="Arial"/>
      <family val="2"/>
    </font>
    <font>
      <u/>
      <sz val="11"/>
      <color theme="10"/>
      <name val="Calibri"/>
      <family val="2"/>
      <scheme val="minor"/>
    </font>
    <font>
      <b/>
      <i/>
      <sz val="11"/>
      <color rgb="FF0070C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4"/>
      <color theme="0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499984740745262"/>
        <bgColor indexed="64"/>
      </patternFill>
    </fill>
  </fills>
  <borders count="4">
    <border>
      <left/>
      <right/>
      <top/>
      <bottom/>
      <diagonal/>
    </border>
    <border>
      <left style="medium">
        <color theme="0" tint="-0.499984740745262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/>
      <right/>
      <top style="thin">
        <color theme="0"/>
      </top>
      <bottom style="double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2" fillId="0" borderId="0" applyNumberFormat="0" applyFill="0" applyBorder="0" applyAlignment="0" applyProtection="0"/>
  </cellStyleXfs>
  <cellXfs count="64">
    <xf numFmtId="0" fontId="0" fillId="0" borderId="0" xfId="0"/>
    <xf numFmtId="14" fontId="0" fillId="0" borderId="0" xfId="0" applyNumberFormat="1"/>
    <xf numFmtId="0" fontId="2" fillId="2" borderId="0" xfId="0" applyFont="1" applyFill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3" fillId="0" borderId="0" xfId="0" applyFont="1"/>
    <xf numFmtId="44" fontId="0" fillId="0" borderId="0" xfId="1" applyNumberFormat="1" applyFont="1"/>
    <xf numFmtId="44" fontId="0" fillId="0" borderId="0" xfId="1" applyFont="1"/>
    <xf numFmtId="8" fontId="0" fillId="0" borderId="0" xfId="1" applyNumberFormat="1" applyFont="1"/>
    <xf numFmtId="0" fontId="4" fillId="0" borderId="0" xfId="0" applyFont="1"/>
    <xf numFmtId="0" fontId="0" fillId="0" borderId="0" xfId="0" applyNumberFormat="1"/>
    <xf numFmtId="166" fontId="0" fillId="0" borderId="0" xfId="2" applyNumberFormat="1" applyFont="1"/>
    <xf numFmtId="8" fontId="0" fillId="4" borderId="0" xfId="1" applyNumberFormat="1" applyFont="1" applyFill="1"/>
    <xf numFmtId="0" fontId="3" fillId="0" borderId="0" xfId="0" applyFont="1" applyAlignment="1">
      <alignment horizontal="center" vertical="center" wrapText="1"/>
    </xf>
    <xf numFmtId="44" fontId="3" fillId="0" borderId="0" xfId="1" applyFont="1" applyAlignment="1">
      <alignment horizontal="center" vertical="center" wrapText="1"/>
    </xf>
    <xf numFmtId="44" fontId="4" fillId="4" borderId="0" xfId="1" applyFont="1" applyFill="1" applyAlignment="1">
      <alignment horizontal="center" vertical="center" wrapText="1"/>
    </xf>
    <xf numFmtId="44" fontId="0" fillId="0" borderId="0" xfId="0" applyNumberFormat="1"/>
    <xf numFmtId="1" fontId="0" fillId="0" borderId="0" xfId="0" applyNumberFormat="1"/>
    <xf numFmtId="164" fontId="0" fillId="0" borderId="0" xfId="1" applyNumberFormat="1" applyFont="1"/>
    <xf numFmtId="164" fontId="0" fillId="0" borderId="0" xfId="0" applyNumberFormat="1"/>
    <xf numFmtId="43" fontId="0" fillId="0" borderId="0" xfId="3" applyFont="1"/>
    <xf numFmtId="10" fontId="0" fillId="0" borderId="0" xfId="2" applyNumberFormat="1" applyFont="1"/>
    <xf numFmtId="167" fontId="0" fillId="0" borderId="3" xfId="3" applyNumberFormat="1" applyFont="1" applyBorder="1"/>
    <xf numFmtId="0" fontId="6" fillId="6" borderId="0" xfId="0" applyFont="1" applyFill="1"/>
    <xf numFmtId="0" fontId="9" fillId="6" borderId="0" xfId="0" applyFont="1" applyFill="1"/>
    <xf numFmtId="0" fontId="0" fillId="6" borderId="0" xfId="0" applyFill="1"/>
    <xf numFmtId="0" fontId="10" fillId="7" borderId="0" xfId="0" applyFont="1" applyFill="1"/>
    <xf numFmtId="0" fontId="6" fillId="7" borderId="0" xfId="0" applyFont="1" applyFill="1"/>
    <xf numFmtId="0" fontId="8" fillId="7" borderId="0" xfId="0" applyFont="1" applyFill="1"/>
    <xf numFmtId="0" fontId="8" fillId="7" borderId="0" xfId="0" applyFont="1" applyFill="1" applyAlignment="1">
      <alignment horizontal="right"/>
    </xf>
    <xf numFmtId="9" fontId="7" fillId="7" borderId="0" xfId="2" applyNumberFormat="1" applyFont="1" applyFill="1"/>
    <xf numFmtId="0" fontId="9" fillId="7" borderId="0" xfId="0" applyFont="1" applyFill="1"/>
    <xf numFmtId="164" fontId="9" fillId="7" borderId="0" xfId="0" applyNumberFormat="1" applyFont="1" applyFill="1"/>
    <xf numFmtId="44" fontId="9" fillId="7" borderId="0" xfId="1" applyNumberFormat="1" applyFont="1" applyFill="1"/>
    <xf numFmtId="9" fontId="9" fillId="7" borderId="0" xfId="2" applyFont="1" applyFill="1"/>
    <xf numFmtId="164" fontId="9" fillId="7" borderId="0" xfId="1" applyNumberFormat="1" applyFont="1" applyFill="1"/>
    <xf numFmtId="1" fontId="9" fillId="7" borderId="0" xfId="0" applyNumberFormat="1" applyFont="1" applyFill="1"/>
    <xf numFmtId="0" fontId="9" fillId="7" borderId="0" xfId="0" applyFont="1" applyFill="1" applyAlignment="1">
      <alignment horizontal="left"/>
    </xf>
    <xf numFmtId="0" fontId="8" fillId="7" borderId="2" xfId="0" applyFont="1" applyFill="1" applyBorder="1"/>
    <xf numFmtId="164" fontId="8" fillId="7" borderId="2" xfId="1" applyNumberFormat="1" applyFont="1" applyFill="1" applyBorder="1"/>
    <xf numFmtId="0" fontId="5" fillId="7" borderId="0" xfId="0" applyFont="1" applyFill="1"/>
    <xf numFmtId="0" fontId="9" fillId="7" borderId="2" xfId="0" applyFont="1" applyFill="1" applyBorder="1"/>
    <xf numFmtId="44" fontId="8" fillId="7" borderId="2" xfId="1" applyNumberFormat="1" applyFont="1" applyFill="1" applyBorder="1"/>
    <xf numFmtId="14" fontId="9" fillId="7" borderId="0" xfId="0" applyNumberFormat="1" applyFont="1" applyFill="1"/>
    <xf numFmtId="0" fontId="11" fillId="7" borderId="0" xfId="0" applyFont="1" applyFill="1"/>
    <xf numFmtId="9" fontId="9" fillId="7" borderId="0" xfId="0" applyNumberFormat="1" applyFont="1" applyFill="1" applyAlignment="1">
      <alignment horizontal="left"/>
    </xf>
    <xf numFmtId="0" fontId="8" fillId="7" borderId="0" xfId="0" applyFont="1" applyFill="1" applyAlignment="1">
      <alignment vertical="center" wrapText="1"/>
    </xf>
    <xf numFmtId="9" fontId="8" fillId="7" borderId="2" xfId="2" applyFont="1" applyFill="1" applyBorder="1"/>
    <xf numFmtId="0" fontId="13" fillId="0" borderId="0" xfId="0" applyFont="1"/>
    <xf numFmtId="0" fontId="0" fillId="10" borderId="0" xfId="0" applyFill="1"/>
    <xf numFmtId="0" fontId="14" fillId="0" borderId="0" xfId="0" applyFont="1" applyAlignment="1">
      <alignment horizontal="left"/>
    </xf>
    <xf numFmtId="0" fontId="12" fillId="0" borderId="0" xfId="4" applyAlignment="1">
      <alignment horizontal="left"/>
    </xf>
    <xf numFmtId="9" fontId="9" fillId="7" borderId="0" xfId="0" applyNumberFormat="1" applyFont="1" applyFill="1" applyAlignment="1">
      <alignment horizontal="right"/>
    </xf>
    <xf numFmtId="44" fontId="0" fillId="3" borderId="1" xfId="1" applyNumberFormat="1" applyFont="1" applyFill="1" applyBorder="1" applyProtection="1">
      <protection locked="0"/>
    </xf>
    <xf numFmtId="165" fontId="0" fillId="3" borderId="1" xfId="2" applyNumberFormat="1" applyFont="1" applyFill="1" applyBorder="1" applyProtection="1">
      <protection locked="0"/>
    </xf>
    <xf numFmtId="0" fontId="0" fillId="3" borderId="1" xfId="0" applyFill="1" applyBorder="1" applyProtection="1">
      <protection locked="0"/>
    </xf>
    <xf numFmtId="14" fontId="0" fillId="3" borderId="1" xfId="0" applyNumberFormat="1" applyFill="1" applyBorder="1" applyProtection="1">
      <protection locked="0"/>
    </xf>
    <xf numFmtId="44" fontId="0" fillId="3" borderId="1" xfId="1" applyFont="1" applyFill="1" applyBorder="1" applyProtection="1">
      <protection locked="0"/>
    </xf>
    <xf numFmtId="0" fontId="3" fillId="0" borderId="0" xfId="0" applyFont="1" applyAlignment="1">
      <alignment horizontal="left" vertical="center" wrapText="1"/>
    </xf>
    <xf numFmtId="0" fontId="15" fillId="7" borderId="0" xfId="0" applyFont="1" applyFill="1" applyAlignment="1">
      <alignment horizontal="center" vertical="center" wrapText="1"/>
    </xf>
    <xf numFmtId="0" fontId="8" fillId="2" borderId="0" xfId="0" applyFont="1" applyFill="1" applyAlignment="1">
      <alignment horizontal="center"/>
    </xf>
    <xf numFmtId="0" fontId="8" fillId="5" borderId="0" xfId="0" applyFont="1" applyFill="1" applyAlignment="1">
      <alignment horizontal="center"/>
    </xf>
    <xf numFmtId="0" fontId="8" fillId="8" borderId="0" xfId="0" applyFont="1" applyFill="1" applyAlignment="1">
      <alignment horizontal="center"/>
    </xf>
    <xf numFmtId="0" fontId="2" fillId="9" borderId="0" xfId="0" applyFont="1" applyFill="1" applyAlignment="1">
      <alignment horizontal="center"/>
    </xf>
    <xf numFmtId="0" fontId="2" fillId="8" borderId="0" xfId="0" applyFont="1" applyFill="1" applyAlignment="1">
      <alignment horizontal="center"/>
    </xf>
  </cellXfs>
  <cellStyles count="5">
    <cellStyle name="Comma" xfId="3" builtinId="3"/>
    <cellStyle name="Currency" xfId="1" builtinId="4"/>
    <cellStyle name="Hyperlink" xfId="4" builtinId="8"/>
    <cellStyle name="Normal" xfId="0" builtinId="0"/>
    <cellStyle name="Percent" xfId="2" builtinId="5"/>
  </cellStyles>
  <dxfs count="1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2" formatCode="&quot;$&quot;#,##0.00_);[Red]\(&quot;$&quot;#,##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2" formatCode="&quot;$&quot;#,##0.00_);[Red]\(&quot;$&quot;#,##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2" formatCode="&quot;$&quot;#,##0.00_);[Red]\(&quot;$&quot;#,##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2" formatCode="&quot;$&quot;#,##0.00_);[Red]\(&quot;$&quot;#,##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2" formatCode="&quot;$&quot;#,##0.00_);[Red]\(&quot;$&quot;#,##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2" formatCode="&quot;$&quot;#,##0.00_);[Red]\(&quot;$&quot;#,##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2" formatCode="&quot;$&quot;#,##0.00_);[Red]\(&quot;$&quot;#,##0.00\)"/>
      <fill>
        <patternFill patternType="solid">
          <fgColor indexed="64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2" formatCode="&quot;$&quot;#,##0.00_);[Red]\(&quot;$&quot;#,##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2" formatCode="&quot;$&quot;#,##0.00_);[Red]\(&quot;$&quot;#,##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2" formatCode="&quot;$&quot;#,##0.00_);[Red]\(&quot;$&quot;#,##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2" formatCode="&quot;$&quot;#,##0.00_);[Red]\(&quot;$&quot;#,##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colors>
    <mruColors>
      <color rgb="FFCE0202"/>
      <color rgb="FFFF9F9F"/>
      <color rgb="FFB80000"/>
      <color rgb="FFFF6969"/>
      <color rgb="FFF7F7F7"/>
      <color rgb="FFCCECFF"/>
      <color rgb="FFD1FFE6"/>
      <color rgb="FFFFA7A7"/>
      <color rgb="FFFFFFFF"/>
      <color rgb="FF79FFB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600" b="1" i="0" u="none" strike="noStrike" kern="1200" cap="none" spc="0" normalizeH="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j-lt"/>
                <a:ea typeface="+mj-ea"/>
                <a:cs typeface="+mj-cs"/>
              </a:defRPr>
            </a:pPr>
            <a:r>
              <a:rPr lang="en-US" sz="1600" b="1" i="0" u="none" strike="noStrike" kern="1200" cap="none" spc="0" normalizeH="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j-lt"/>
                <a:ea typeface="+mj-ea"/>
                <a:cs typeface="+mj-cs"/>
              </a:rPr>
              <a:t>Monthly Payment Breakdown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600" b="1" i="0" u="none" strike="noStrike" kern="1200" cap="none" spc="0" normalizeH="0" baseline="0">
              <a:solidFill>
                <a:sysClr val="windowText" lastClr="000000">
                  <a:lumMod val="50000"/>
                  <a:lumOff val="50000"/>
                </a:sys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509-49E1-B539-7F8F9A3E803C}"/>
              </c:ext>
            </c:extLst>
          </c:dPt>
          <c:dPt>
            <c:idx val="1"/>
            <c:bubble3D val="0"/>
            <c:spPr>
              <a:solidFill>
                <a:schemeClr val="accent1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B509-49E1-B539-7F8F9A3E803C}"/>
              </c:ext>
            </c:extLst>
          </c:dPt>
          <c:dPt>
            <c:idx val="2"/>
            <c:bubble3D val="0"/>
            <c:spPr>
              <a:solidFill>
                <a:schemeClr val="accent1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509-49E1-B539-7F8F9A3E803C}"/>
              </c:ext>
            </c:extLst>
          </c:dPt>
          <c:dPt>
            <c:idx val="3"/>
            <c:bubble3D val="0"/>
            <c:spPr>
              <a:solidFill>
                <a:schemeClr val="accent1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B509-49E1-B539-7F8F9A3E803C}"/>
              </c:ext>
            </c:extLst>
          </c:dPt>
          <c:dLbls>
            <c:dLbl>
              <c:idx val="3"/>
              <c:layout>
                <c:manualLayout>
                  <c:x val="4.1666666666666616E-2"/>
                  <c:y val="-2.7777777777777755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509-49E1-B539-7F8F9A3E803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Dashboard!$J$10:$J$13</c:f>
              <c:strCache>
                <c:ptCount val="4"/>
                <c:pt idx="0">
                  <c:v>Principal &amp; Interest</c:v>
                </c:pt>
                <c:pt idx="1">
                  <c:v>Taxes</c:v>
                </c:pt>
                <c:pt idx="2">
                  <c:v>Homeowners Insurance</c:v>
                </c:pt>
                <c:pt idx="3">
                  <c:v>PMI</c:v>
                </c:pt>
              </c:strCache>
            </c:strRef>
          </c:cat>
          <c:val>
            <c:numRef>
              <c:f>Dashboard!$M$10:$M$13</c:f>
              <c:numCache>
                <c:formatCode>0%</c:formatCode>
                <c:ptCount val="4"/>
                <c:pt idx="0">
                  <c:v>0.7321808080463198</c:v>
                </c:pt>
                <c:pt idx="1">
                  <c:v>0.19854932595216473</c:v>
                </c:pt>
                <c:pt idx="2">
                  <c:v>2.6314078749901326E-2</c:v>
                </c:pt>
                <c:pt idx="3">
                  <c:v>4.2955787251614065E-2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09-49E1-B539-7F8F9A3E803C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38100" cap="flat" cmpd="sng" algn="ctr">
      <a:solidFill>
        <a:schemeClr val="accent1">
          <a:shade val="5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Cumulative Principal vs. Interest Paid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030A0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References!$A$6:$A$7</c:f>
              <c:strCache>
                <c:ptCount val="2"/>
                <c:pt idx="0">
                  <c:v>Cumulative Principal Paid</c:v>
                </c:pt>
                <c:pt idx="1">
                  <c:v>Cumulative Interest Paid</c:v>
                </c:pt>
              </c:strCache>
            </c:strRef>
          </c:cat>
          <c:val>
            <c:numRef>
              <c:f>References!$B$6:$B$7</c:f>
              <c:numCache>
                <c:formatCode>_("$"* #,##0.00_);_("$"* \(#,##0.00\);_("$"* "-"??_);_(@_)</c:formatCode>
                <c:ptCount val="2"/>
                <c:pt idx="0">
                  <c:v>59378.57457093268</c:v>
                </c:pt>
                <c:pt idx="1">
                  <c:v>93448.477685627513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D6-4C6E-81BB-0828EC34D9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67"/>
        <c:overlap val="-43"/>
        <c:axId val="937482664"/>
        <c:axId val="937482336"/>
      </c:barChart>
      <c:catAx>
        <c:axId val="9374826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482336"/>
        <c:crosses val="autoZero"/>
        <c:auto val="1"/>
        <c:lblAlgn val="ctr"/>
        <c:lblOffset val="100"/>
        <c:noMultiLvlLbl val="0"/>
      </c:catAx>
      <c:valAx>
        <c:axId val="937482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482664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38100" cap="flat" cmpd="sng" algn="ctr">
      <a:solidFill>
        <a:srgbClr val="7030A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600" b="1" i="0" u="none" strike="noStrike" kern="1200" cap="none" spc="0" normalizeH="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j-lt"/>
                <a:ea typeface="+mj-ea"/>
                <a:cs typeface="+mj-cs"/>
              </a:defRPr>
            </a:pPr>
            <a:r>
              <a:rPr lang="en-US" sz="1600" b="1" i="0" u="none" strike="noStrike" kern="1200" cap="none" spc="0" normalizeH="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j-lt"/>
                <a:ea typeface="+mj-ea"/>
                <a:cs typeface="+mj-cs"/>
              </a:rPr>
              <a:t>Principal vs. Interest, Life of the Loan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600" b="1" i="0" u="none" strike="noStrike" kern="1200" cap="none" spc="0" normalizeH="0" baseline="0">
              <a:solidFill>
                <a:sysClr val="windowText" lastClr="000000">
                  <a:lumMod val="50000"/>
                  <a:lumOff val="50000"/>
                </a:sys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References!$B$29</c:f>
              <c:strCache>
                <c:ptCount val="1"/>
                <c:pt idx="0">
                  <c:v>No Extra Payments</c:v>
                </c:pt>
              </c:strCache>
            </c:strRef>
          </c:tx>
          <c:spPr>
            <a:solidFill>
              <a:srgbClr val="FF9F9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References!$A$30:$A$31</c:f>
              <c:strCache>
                <c:ptCount val="2"/>
                <c:pt idx="0">
                  <c:v>Total Interest Paid</c:v>
                </c:pt>
                <c:pt idx="1">
                  <c:v>Total Principal Paid</c:v>
                </c:pt>
              </c:strCache>
            </c:strRef>
          </c:cat>
          <c:val>
            <c:numRef>
              <c:f>References!$B$30:$B$31</c:f>
              <c:numCache>
                <c:formatCode>_("$"* #,##0_);_("$"* \(#,##0\);_("$"* "-"??_);_(@_)</c:formatCode>
                <c:ptCount val="2"/>
                <c:pt idx="0">
                  <c:v>173213.37547970546</c:v>
                </c:pt>
                <c:pt idx="1">
                  <c:v>249999.99999999988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AC-496F-9CD4-9E94B3A7EDFA}"/>
            </c:ext>
          </c:extLst>
        </c:ser>
        <c:ser>
          <c:idx val="1"/>
          <c:order val="1"/>
          <c:tx>
            <c:strRef>
              <c:f>References!$C$29</c:f>
              <c:strCache>
                <c:ptCount val="1"/>
                <c:pt idx="0">
                  <c:v>Extra $100 Per Month</c:v>
                </c:pt>
              </c:strCache>
            </c:strRef>
          </c:tx>
          <c:spPr>
            <a:solidFill>
              <a:srgbClr val="CE020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References!$A$30:$A$31</c:f>
              <c:strCache>
                <c:ptCount val="2"/>
                <c:pt idx="0">
                  <c:v>Total Interest Paid</c:v>
                </c:pt>
                <c:pt idx="1">
                  <c:v>Total Principal Paid</c:v>
                </c:pt>
              </c:strCache>
            </c:strRef>
          </c:cat>
          <c:val>
            <c:numRef>
              <c:f>References!$C$30:$C$31</c:f>
              <c:numCache>
                <c:formatCode>_("$"* #,##0_);_("$"* \(#,##0\);_("$"* "-"??_);_(@_)</c:formatCode>
                <c:ptCount val="2"/>
                <c:pt idx="0">
                  <c:v>146473.05451142858</c:v>
                </c:pt>
                <c:pt idx="1">
                  <c:v>249999.99999999988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AAC-496F-9CD4-9E94B3A7EDF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47"/>
        <c:axId val="791311544"/>
        <c:axId val="791310560"/>
      </c:barChart>
      <c:catAx>
        <c:axId val="791311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1310560"/>
        <c:crosses val="autoZero"/>
        <c:auto val="1"/>
        <c:lblAlgn val="ctr"/>
        <c:lblOffset val="100"/>
        <c:noMultiLvlLbl val="0"/>
      </c:catAx>
      <c:valAx>
        <c:axId val="7913105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1311544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38100" cap="flat" cmpd="sng" algn="ctr">
      <a:solidFill>
        <a:srgbClr val="CE0202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2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3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419098</xdr:colOff>
      <xdr:row>20</xdr:row>
      <xdr:rowOff>133349</xdr:rowOff>
    </xdr:from>
    <xdr:to>
      <xdr:col>3</xdr:col>
      <xdr:colOff>590549</xdr:colOff>
      <xdr:row>24</xdr:row>
      <xdr:rowOff>85725</xdr:rowOff>
    </xdr:to>
    <xdr:sp macro="[0]!Inputs" textlink="">
      <xdr:nvSpPr>
        <xdr:cNvPr id="2" name="Rectangle 1">
          <a:extLst>
            <a:ext uri="{FF2B5EF4-FFF2-40B4-BE49-F238E27FC236}">
              <a16:creationId xmlns:a16="http://schemas.microsoft.com/office/drawing/2014/main" id="{819C58DB-B8BB-406D-A61D-7ADE0C866C39}"/>
            </a:ext>
          </a:extLst>
        </xdr:cNvPr>
        <xdr:cNvSpPr/>
      </xdr:nvSpPr>
      <xdr:spPr>
        <a:xfrm>
          <a:off x="419098" y="2990849"/>
          <a:ext cx="4114801" cy="7143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Click</a:t>
          </a:r>
          <a:r>
            <a:rPr lang="en-US" sz="1100" b="1" baseline="0"/>
            <a:t> to go to </a:t>
          </a:r>
          <a:r>
            <a:rPr lang="en-US" sz="1100" b="1"/>
            <a:t>Input tab</a:t>
          </a:r>
        </a:p>
      </xdr:txBody>
    </xdr:sp>
    <xdr:clientData/>
  </xdr:twoCellAnchor>
  <xdr:twoCellAnchor editAs="oneCell">
    <xdr:from>
      <xdr:col>0</xdr:col>
      <xdr:colOff>57150</xdr:colOff>
      <xdr:row>3</xdr:row>
      <xdr:rowOff>95250</xdr:rowOff>
    </xdr:from>
    <xdr:to>
      <xdr:col>8</xdr:col>
      <xdr:colOff>162620</xdr:colOff>
      <xdr:row>5</xdr:row>
      <xdr:rowOff>19093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DE030EA-4590-43A1-9648-588297DBB1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666750"/>
          <a:ext cx="4982270" cy="304843"/>
        </a:xfrm>
        <a:prstGeom prst="rect">
          <a:avLst/>
        </a:prstGeom>
      </xdr:spPr>
    </xdr:pic>
    <xdr:clientData/>
  </xdr:twoCellAnchor>
  <xdr:twoCellAnchor editAs="oneCell">
    <xdr:from>
      <xdr:col>0</xdr:col>
      <xdr:colOff>57150</xdr:colOff>
      <xdr:row>7</xdr:row>
      <xdr:rowOff>104775</xdr:rowOff>
    </xdr:from>
    <xdr:to>
      <xdr:col>11</xdr:col>
      <xdr:colOff>229560</xdr:colOff>
      <xdr:row>18</xdr:row>
      <xdr:rowOff>57436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6606B090-5B28-40C0-9265-51900C9BB1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7150" y="1438275"/>
          <a:ext cx="6878010" cy="204816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1206500</xdr:colOff>
      <xdr:row>13</xdr:row>
      <xdr:rowOff>25400</xdr:rowOff>
    </xdr:from>
    <xdr:to>
      <xdr:col>2</xdr:col>
      <xdr:colOff>222251</xdr:colOff>
      <xdr:row>16</xdr:row>
      <xdr:rowOff>168276</xdr:rowOff>
    </xdr:to>
    <xdr:sp macro="[0]!Dashboard" textlink="">
      <xdr:nvSpPr>
        <xdr:cNvPr id="2" name="Rectangle 1">
          <a:extLst>
            <a:ext uri="{FF2B5EF4-FFF2-40B4-BE49-F238E27FC236}">
              <a16:creationId xmlns:a16="http://schemas.microsoft.com/office/drawing/2014/main" id="{AB9AA45D-8E5B-E143-8D89-AF4C0D5030C6}"/>
            </a:ext>
          </a:extLst>
        </xdr:cNvPr>
        <xdr:cNvSpPr/>
      </xdr:nvSpPr>
      <xdr:spPr>
        <a:xfrm>
          <a:off x="1206500" y="2451100"/>
          <a:ext cx="2190751" cy="7143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Click</a:t>
          </a:r>
          <a:r>
            <a:rPr lang="en-US" sz="1100" b="1" baseline="0"/>
            <a:t> to go to </a:t>
          </a:r>
          <a:r>
            <a:rPr lang="en-US" sz="1100" b="1"/>
            <a:t>Dashboard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133348</xdr:colOff>
      <xdr:row>16</xdr:row>
      <xdr:rowOff>111124</xdr:rowOff>
    </xdr:from>
    <xdr:to>
      <xdr:col>13</xdr:col>
      <xdr:colOff>31749</xdr:colOff>
      <xdr:row>33</xdr:row>
      <xdr:rowOff>21166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521B72B-5906-47E5-8E54-7713F0389D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42334</xdr:colOff>
      <xdr:row>16</xdr:row>
      <xdr:rowOff>120385</xdr:rowOff>
    </xdr:from>
    <xdr:to>
      <xdr:col>7</xdr:col>
      <xdr:colOff>571500</xdr:colOff>
      <xdr:row>32</xdr:row>
      <xdr:rowOff>148167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53A5EEB-0BE1-47C6-B6BC-F950C464A0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206374</xdr:colOff>
      <xdr:row>16</xdr:row>
      <xdr:rowOff>105833</xdr:rowOff>
    </xdr:from>
    <xdr:to>
      <xdr:col>20</xdr:col>
      <xdr:colOff>529167</xdr:colOff>
      <xdr:row>32</xdr:row>
      <xdr:rowOff>179915</xdr:rowOff>
    </xdr:to>
    <xdr:graphicFrame macro="">
      <xdr:nvGraphicFramePr>
        <xdr:cNvPr id="38" name="Chart 37">
          <a:extLst>
            <a:ext uri="{FF2B5EF4-FFF2-40B4-BE49-F238E27FC236}">
              <a16:creationId xmlns:a16="http://schemas.microsoft.com/office/drawing/2014/main" id="{E529931B-EA00-480E-8D45-29BF59AB4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14386</xdr:colOff>
      <xdr:row>6</xdr:row>
      <xdr:rowOff>24132</xdr:rowOff>
    </xdr:from>
    <xdr:to>
      <xdr:col>8</xdr:col>
      <xdr:colOff>127000</xdr:colOff>
      <xdr:row>17</xdr:row>
      <xdr:rowOff>84667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7F8E0D6E-D708-4DB2-96AC-4E4B042269C8}"/>
            </a:ext>
          </a:extLst>
        </xdr:cNvPr>
        <xdr:cNvGrpSpPr/>
      </xdr:nvGrpSpPr>
      <xdr:grpSpPr>
        <a:xfrm>
          <a:off x="2690911" y="1205232"/>
          <a:ext cx="2731989" cy="2222710"/>
          <a:chOff x="5916828" y="6562626"/>
          <a:chExt cx="2566292" cy="1529753"/>
        </a:xfrm>
      </xdr:grpSpPr>
      <xdr:grpSp>
        <xdr:nvGrpSpPr>
          <xdr:cNvPr id="3" name="Group 2">
            <a:extLst>
              <a:ext uri="{FF2B5EF4-FFF2-40B4-BE49-F238E27FC236}">
                <a16:creationId xmlns:a16="http://schemas.microsoft.com/office/drawing/2014/main" id="{F46B6DF8-20D7-4C13-8B38-47C828D77FB3}"/>
              </a:ext>
            </a:extLst>
          </xdr:cNvPr>
          <xdr:cNvGrpSpPr/>
        </xdr:nvGrpSpPr>
        <xdr:grpSpPr>
          <a:xfrm>
            <a:off x="5916828" y="6562626"/>
            <a:ext cx="2566292" cy="1529753"/>
            <a:chOff x="5733521" y="6307667"/>
            <a:chExt cx="2932905" cy="2039674"/>
          </a:xfrm>
        </xdr:grpSpPr>
        <xdr:sp macro="[0]!ViewTable" textlink="">
          <xdr:nvSpPr>
            <xdr:cNvPr id="1280" name="Freeform: Shape 1279">
              <a:extLst>
                <a:ext uri="{FF2B5EF4-FFF2-40B4-BE49-F238E27FC236}">
                  <a16:creationId xmlns:a16="http://schemas.microsoft.com/office/drawing/2014/main" id="{348AB6B6-3FFC-48EE-B157-0756B5F637AD}"/>
                </a:ext>
              </a:extLst>
            </xdr:cNvPr>
            <xdr:cNvSpPr/>
          </xdr:nvSpPr>
          <xdr:spPr>
            <a:xfrm>
              <a:off x="5916828" y="6562626"/>
              <a:ext cx="2566292" cy="930599"/>
            </a:xfrm>
            <a:custGeom>
              <a:avLst/>
              <a:gdLst>
                <a:gd name="connsiteX0" fmla="*/ 400050 w 800100"/>
                <a:gd name="connsiteY0" fmla="*/ 0 h 417194"/>
                <a:gd name="connsiteX1" fmla="*/ 400050 w 800100"/>
                <a:gd name="connsiteY1" fmla="*/ 0 h 417194"/>
                <a:gd name="connsiteX2" fmla="*/ 0 w 800100"/>
                <a:gd name="connsiteY2" fmla="*/ 381000 h 417194"/>
                <a:gd name="connsiteX3" fmla="*/ 42863 w 800100"/>
                <a:gd name="connsiteY3" fmla="*/ 417195 h 417194"/>
                <a:gd name="connsiteX4" fmla="*/ 400050 w 800100"/>
                <a:gd name="connsiteY4" fmla="*/ 78105 h 417194"/>
                <a:gd name="connsiteX5" fmla="*/ 400050 w 800100"/>
                <a:gd name="connsiteY5" fmla="*/ 78105 h 417194"/>
                <a:gd name="connsiteX6" fmla="*/ 757238 w 800100"/>
                <a:gd name="connsiteY6" fmla="*/ 417195 h 417194"/>
                <a:gd name="connsiteX7" fmla="*/ 800100 w 800100"/>
                <a:gd name="connsiteY7" fmla="*/ 381000 h 417194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</a:cxnLst>
              <a:rect l="l" t="t" r="r" b="b"/>
              <a:pathLst>
                <a:path w="800100" h="417194">
                  <a:moveTo>
                    <a:pt x="400050" y="0"/>
                  </a:moveTo>
                  <a:lnTo>
                    <a:pt x="400050" y="0"/>
                  </a:lnTo>
                  <a:lnTo>
                    <a:pt x="0" y="381000"/>
                  </a:lnTo>
                  <a:lnTo>
                    <a:pt x="42863" y="417195"/>
                  </a:lnTo>
                  <a:lnTo>
                    <a:pt x="400050" y="78105"/>
                  </a:lnTo>
                  <a:lnTo>
                    <a:pt x="400050" y="78105"/>
                  </a:lnTo>
                  <a:lnTo>
                    <a:pt x="757238" y="417195"/>
                  </a:lnTo>
                  <a:lnTo>
                    <a:pt x="800100" y="381000"/>
                  </a:lnTo>
                  <a:close/>
                </a:path>
              </a:pathLst>
            </a:custGeom>
            <a:solidFill>
              <a:srgbClr val="7030A0"/>
            </a:solidFill>
            <a:ln w="9525" cap="flat">
              <a:solidFill>
                <a:schemeClr val="bg1">
                  <a:lumMod val="50000"/>
                </a:schemeClr>
              </a:solidFill>
              <a:prstDash val="solid"/>
              <a:miter/>
            </a:ln>
          </xdr:spPr>
          <xdr:txBody>
            <a:bodyPr rtlCol="0" anchor="ctr"/>
            <a:lstStyle/>
            <a:p>
              <a:endParaRPr lang="en-US"/>
            </a:p>
          </xdr:txBody>
        </xdr:sp>
        <xdr:sp macro="[0]!ViewTable" textlink="">
          <xdr:nvSpPr>
            <xdr:cNvPr id="1281" name="Freeform: Shape 1280">
              <a:extLst>
                <a:ext uri="{FF2B5EF4-FFF2-40B4-BE49-F238E27FC236}">
                  <a16:creationId xmlns:a16="http://schemas.microsoft.com/office/drawing/2014/main" id="{B5FE3AFC-554E-426A-AD22-C226A2F2CAA1}"/>
                </a:ext>
              </a:extLst>
            </xdr:cNvPr>
            <xdr:cNvSpPr/>
          </xdr:nvSpPr>
          <xdr:spPr>
            <a:xfrm>
              <a:off x="6283441" y="6855827"/>
              <a:ext cx="1833066" cy="1236552"/>
            </a:xfrm>
            <a:custGeom>
              <a:avLst/>
              <a:gdLst>
                <a:gd name="connsiteX0" fmla="*/ 0 w 571500"/>
                <a:gd name="connsiteY0" fmla="*/ 271463 h 554355"/>
                <a:gd name="connsiteX1" fmla="*/ 0 w 571500"/>
                <a:gd name="connsiteY1" fmla="*/ 554355 h 554355"/>
                <a:gd name="connsiteX2" fmla="*/ 228600 w 571500"/>
                <a:gd name="connsiteY2" fmla="*/ 554355 h 554355"/>
                <a:gd name="connsiteX3" fmla="*/ 228600 w 571500"/>
                <a:gd name="connsiteY3" fmla="*/ 316230 h 554355"/>
                <a:gd name="connsiteX4" fmla="*/ 342900 w 571500"/>
                <a:gd name="connsiteY4" fmla="*/ 316230 h 554355"/>
                <a:gd name="connsiteX5" fmla="*/ 342900 w 571500"/>
                <a:gd name="connsiteY5" fmla="*/ 554355 h 554355"/>
                <a:gd name="connsiteX6" fmla="*/ 571500 w 571500"/>
                <a:gd name="connsiteY6" fmla="*/ 554355 h 554355"/>
                <a:gd name="connsiteX7" fmla="*/ 571500 w 571500"/>
                <a:gd name="connsiteY7" fmla="*/ 271463 h 554355"/>
                <a:gd name="connsiteX8" fmla="*/ 285750 w 571500"/>
                <a:gd name="connsiteY8" fmla="*/ 0 h 554355"/>
                <a:gd name="connsiteX9" fmla="*/ 0 w 571500"/>
                <a:gd name="connsiteY9" fmla="*/ 271463 h 55435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</a:cxnLst>
              <a:rect l="l" t="t" r="r" b="b"/>
              <a:pathLst>
                <a:path w="571500" h="554355">
                  <a:moveTo>
                    <a:pt x="0" y="271463"/>
                  </a:moveTo>
                  <a:lnTo>
                    <a:pt x="0" y="554355"/>
                  </a:lnTo>
                  <a:lnTo>
                    <a:pt x="228600" y="554355"/>
                  </a:lnTo>
                  <a:lnTo>
                    <a:pt x="228600" y="316230"/>
                  </a:lnTo>
                  <a:lnTo>
                    <a:pt x="342900" y="316230"/>
                  </a:lnTo>
                  <a:lnTo>
                    <a:pt x="342900" y="554355"/>
                  </a:lnTo>
                  <a:lnTo>
                    <a:pt x="571500" y="554355"/>
                  </a:lnTo>
                  <a:lnTo>
                    <a:pt x="571500" y="271463"/>
                  </a:lnTo>
                  <a:lnTo>
                    <a:pt x="285750" y="0"/>
                  </a:lnTo>
                  <a:lnTo>
                    <a:pt x="0" y="271463"/>
                  </a:lnTo>
                  <a:close/>
                </a:path>
              </a:pathLst>
            </a:custGeom>
            <a:solidFill>
              <a:srgbClr val="7030A0"/>
            </a:solidFill>
            <a:ln w="9525" cap="flat">
              <a:solidFill>
                <a:schemeClr val="bg1">
                  <a:lumMod val="50000"/>
                </a:schemeClr>
              </a:solidFill>
              <a:prstDash val="solid"/>
              <a:miter/>
            </a:ln>
          </xdr:spPr>
          <xdr:txBody>
            <a:bodyPr rtlCol="0" anchor="ctr"/>
            <a:lstStyle/>
            <a:p>
              <a:endParaRPr lang="en-US"/>
            </a:p>
          </xdr:txBody>
        </xdr:sp>
      </xdr:grpSp>
      <xdr:sp macro="[0]!ViewTable" textlink="">
        <xdr:nvSpPr>
          <xdr:cNvPr id="4" name="TextBox 3">
            <a:extLst>
              <a:ext uri="{FF2B5EF4-FFF2-40B4-BE49-F238E27FC236}">
                <a16:creationId xmlns:a16="http://schemas.microsoft.com/office/drawing/2014/main" id="{25884A6A-6AF4-4C1F-B86C-684A7E519D16}"/>
              </a:ext>
            </a:extLst>
          </xdr:cNvPr>
          <xdr:cNvSpPr txBox="1"/>
        </xdr:nvSpPr>
        <xdr:spPr>
          <a:xfrm>
            <a:off x="6293829" y="7102961"/>
            <a:ext cx="1919754" cy="5625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100" i="1">
                <a:solidFill>
                  <a:schemeClr val="bg1"/>
                </a:solidFill>
              </a:rPr>
              <a:t>View Amortization</a:t>
            </a:r>
          </a:p>
          <a:p>
            <a:pPr algn="ctr"/>
            <a:r>
              <a:rPr lang="en-US" sz="1100" i="1">
                <a:solidFill>
                  <a:schemeClr val="bg1"/>
                </a:solidFill>
              </a:rPr>
              <a:t> Schedule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284692</xdr:colOff>
          <xdr:row>3</xdr:row>
          <xdr:rowOff>83608</xdr:rowOff>
        </xdr:from>
        <xdr:to>
          <xdr:col>20</xdr:col>
          <xdr:colOff>371740</xdr:colOff>
          <xdr:row>5</xdr:row>
          <xdr:rowOff>102658</xdr:rowOff>
        </xdr:to>
        <xdr:pic>
          <xdr:nvPicPr>
            <xdr:cNvPr id="1652" name="Picture 585">
              <a:extLst>
                <a:ext uri="{FF2B5EF4-FFF2-40B4-BE49-F238E27FC236}">
                  <a16:creationId xmlns:a16="http://schemas.microsoft.com/office/drawing/2014/main" id="{01D4A815-CED2-45D5-B6CB-87FFBE7CED8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References!$B$9" spid="_x0000_s1835"/>
                </a:ext>
              </a:extLst>
            </xdr:cNvPicPr>
          </xdr:nvPicPr>
          <xdr:blipFill>
            <a:blip xmlns:r="http://schemas.openxmlformats.org/officeDocument/2006/relationships" r:embed="rId4"/>
            <a:srcRect/>
            <a:stretch>
              <a:fillRect/>
            </a:stretch>
          </xdr:blipFill>
          <xdr:spPr bwMode="auto">
            <a:xfrm>
              <a:off x="891911" y="726546"/>
              <a:ext cx="15383933" cy="37623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285750</xdr:colOff>
          <xdr:row>3</xdr:row>
          <xdr:rowOff>85725</xdr:rowOff>
        </xdr:from>
        <xdr:to>
          <xdr:col>20</xdr:col>
          <xdr:colOff>368301</xdr:colOff>
          <xdr:row>5</xdr:row>
          <xdr:rowOff>104775</xdr:rowOff>
        </xdr:to>
        <xdr:pic>
          <xdr:nvPicPr>
            <xdr:cNvPr id="1709" name="Picture 585">
              <a:extLst>
                <a:ext uri="{FF2B5EF4-FFF2-40B4-BE49-F238E27FC236}">
                  <a16:creationId xmlns:a16="http://schemas.microsoft.com/office/drawing/2014/main" id="{0F7DACFD-0C9F-4758-846E-197380CA070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References!$B$9" spid="_x0000_s1836"/>
                </a:ext>
              </a:extLst>
            </xdr:cNvPicPr>
          </xdr:nvPicPr>
          <xdr:blipFill>
            <a:blip xmlns:r="http://schemas.openxmlformats.org/officeDocument/2006/relationships" r:embed="rId4"/>
            <a:srcRect/>
            <a:stretch>
              <a:fillRect/>
            </a:stretch>
          </xdr:blipFill>
          <xdr:spPr bwMode="auto">
            <a:xfrm>
              <a:off x="895350" y="723900"/>
              <a:ext cx="15392400" cy="381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B1F9FBB-6198-498D-9178-3D93BD752197}" name="Table1" displayName="Table1" ref="A3:R363" totalsRowShown="0" headerRowDxfId="18" dataDxfId="17" headerRowCellStyle="Currency" dataCellStyle="Currency">
  <tableColumns count="18">
    <tableColumn id="1" xr3:uid="{1C6BDBEF-73DF-499B-9311-477AC49E9379}" name="PAYMENT #">
      <calculatedColumnFormula>+A3+1</calculatedColumnFormula>
    </tableColumn>
    <tableColumn id="2" xr3:uid="{87382128-8685-4579-AC60-8AB671212340}" name="PAYMENT DATE" dataDxfId="16">
      <calculatedColumnFormula>+EOMONTH(B3,0)+1</calculatedColumnFormula>
    </tableColumn>
    <tableColumn id="3" xr3:uid="{FCE40D84-92CD-4A8B-B669-C4E80B0BD87C}" name="BEGINNING BALANCE" dataDxfId="15" dataCellStyle="Currency">
      <calculatedColumnFormula>+G3</calculatedColumnFormula>
    </tableColumn>
    <tableColumn id="4" xr3:uid="{F7A8747F-7152-48D4-BD7D-4AA2541E0200}" name="PRINCIPAL" dataDxfId="14" dataCellStyle="Currency">
      <calculatedColumnFormula>PPMT(Inputs!$B$4/12,A4,Inputs!$B$5*12,-'Amortization Table'!$C$4)</calculatedColumnFormula>
    </tableColumn>
    <tableColumn id="5" xr3:uid="{547F02B4-8C48-42A7-86F7-352F66B515FF}" name="INTEREST" dataDxfId="13" dataCellStyle="Currency">
      <calculatedColumnFormula>IPMT(Inputs!$B$4/12,'Amortization Table'!A4,Inputs!$B$5*12,-'Amortization Table'!$C$4)</calculatedColumnFormula>
    </tableColumn>
    <tableColumn id="6" xr3:uid="{0D8FEC10-C33E-4087-9E8E-C971EF2C4BAD}" name="TOTAL" dataDxfId="12" dataCellStyle="Currency">
      <calculatedColumnFormula>+SUM(D4:E4)</calculatedColumnFormula>
    </tableColumn>
    <tableColumn id="7" xr3:uid="{7F8C2778-28E3-4142-8247-17A251B15BFA}" name="ENDING BALANCE" dataDxfId="11" dataCellStyle="Currency">
      <calculatedColumnFormula>+C4-D4</calculatedColumnFormula>
    </tableColumn>
    <tableColumn id="8" xr3:uid="{C71D1109-EF00-42CB-8FBB-0CB328E84D07}" name="CUMULATIVE PRINCIPAL" dataDxfId="10" dataCellStyle="Currency">
      <calculatedColumnFormula>+Table1[[#This Row],[PRINCIPAL]]</calculatedColumnFormula>
    </tableColumn>
    <tableColumn id="9" xr3:uid="{4A811FEA-B6CD-4233-B2BA-77509771D230}" name="CUMULATIVE INTEREST" dataDxfId="9" dataCellStyle="Currency">
      <calculatedColumnFormula>Table1[[#This Row],[INTEREST]]</calculatedColumnFormula>
    </tableColumn>
    <tableColumn id="18" xr3:uid="{F3FE2B27-0D64-40C2-98FE-825607A99472}" name="Column1" dataDxfId="8" dataCellStyle="Currency"/>
    <tableColumn id="10" xr3:uid="{A511EEC4-E098-4458-BB96-15E4AE9CFA51}" name="BEGINNING BALANCE " dataDxfId="7" dataCellStyle="Currency">
      <calculatedColumnFormula>+Table1[[#This Row],[BEGINNING BALANCE]]</calculatedColumnFormula>
    </tableColumn>
    <tableColumn id="11" xr3:uid="{65CA6230-4EBD-423B-AB88-AEFEDE0B73B1}" name="PRINCIPAL " dataDxfId="6" dataCellStyle="Currency">
      <calculatedColumnFormula>+References!$B$1-Table1[[#This Row],[INTEREST ]]</calculatedColumnFormula>
    </tableColumn>
    <tableColumn id="17" xr3:uid="{69DF1C5C-82B8-4188-816E-F938C53EED40}" name="EXTRA PAYMENT" dataDxfId="5" dataCellStyle="Currency">
      <calculatedColumnFormula>+Inputs!$B$11</calculatedColumnFormula>
    </tableColumn>
    <tableColumn id="12" xr3:uid="{EEC5AC70-A805-4B68-917F-943B1C9E10EB}" name="INTEREST " dataDxfId="4" dataCellStyle="Currency">
      <calculatedColumnFormula>+Table1[[#This Row],[BEGINNING BALANCE ]]*Inputs!$B$4/12</calculatedColumnFormula>
    </tableColumn>
    <tableColumn id="13" xr3:uid="{C915380D-D9C0-44E0-8C63-C0EA3C446C46}" name="TOTAL " dataDxfId="3" dataCellStyle="Currency">
      <calculatedColumnFormula>+SUM(Table1[[#This Row],[PRINCIPAL ]:[INTEREST ]])</calculatedColumnFormula>
    </tableColumn>
    <tableColumn id="14" xr3:uid="{A4C4870A-63AA-44C8-9A1A-09FC4A71B970}" name="ENDING BALANCE " dataDxfId="2" dataCellStyle="Currency">
      <calculatedColumnFormula>+Table1[[#This Row],[BEGINNING BALANCE ]]-Table1[[#This Row],[PRINCIPAL ]]-Table1[[#This Row],[EXTRA PAYMENT]]</calculatedColumnFormula>
    </tableColumn>
    <tableColumn id="15" xr3:uid="{5A22768B-ADE4-4F40-991C-E8B7AC0479D0}" name="CUMULATIVE PRINCIPAL " dataDxfId="1" dataCellStyle="Currency">
      <calculatedColumnFormula>+Table1[[#This Row],[PRINCIPAL ]]+Table1[[#This Row],[EXTRA PAYMENT]]</calculatedColumnFormula>
    </tableColumn>
    <tableColumn id="16" xr3:uid="{C5609BF5-888F-4EE1-B5CF-31F3D5877EE6}" name="CUMULATIVE INTEREST " dataDxfId="0" dataCellStyle="Currency">
      <calculatedColumnFormula>+Table1[[#This Row],[INTEREST ]]</calculatedColumnFormula>
    </tableColumn>
  </tableColumns>
  <tableStyleInfo name="TableStyleMedium1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Matt.Briskey@gmail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2529AC-0A92-41C5-AB91-BE1EF176FAF2}">
  <sheetPr codeName="Sheet1"/>
  <dimension ref="A1:K31"/>
  <sheetViews>
    <sheetView showGridLines="0" workbookViewId="0">
      <selection activeCell="D35" sqref="D35"/>
    </sheetView>
  </sheetViews>
  <sheetFormatPr defaultColWidth="8.85546875" defaultRowHeight="15" x14ac:dyDescent="0.25"/>
  <sheetData>
    <row r="1" spans="1:11" x14ac:dyDescent="0.25">
      <c r="A1" s="47" t="s">
        <v>78</v>
      </c>
    </row>
    <row r="3" spans="1:11" x14ac:dyDescent="0.25">
      <c r="A3" s="4" t="s">
        <v>75</v>
      </c>
    </row>
    <row r="6" spans="1:11" x14ac:dyDescent="0.25">
      <c r="A6" s="48"/>
      <c r="B6" s="48"/>
      <c r="C6" s="48"/>
      <c r="D6" s="48"/>
      <c r="E6" s="48"/>
      <c r="F6" s="48"/>
      <c r="G6" s="48"/>
      <c r="H6" s="48"/>
      <c r="I6" s="48"/>
      <c r="J6" s="48"/>
      <c r="K6" s="48"/>
    </row>
    <row r="7" spans="1:11" x14ac:dyDescent="0.25">
      <c r="A7" s="4" t="s">
        <v>80</v>
      </c>
    </row>
    <row r="8" spans="1:11" x14ac:dyDescent="0.25">
      <c r="A8" s="4"/>
    </row>
    <row r="9" spans="1:11" x14ac:dyDescent="0.25">
      <c r="A9" s="4"/>
    </row>
    <row r="10" spans="1:11" x14ac:dyDescent="0.25">
      <c r="A10" s="4"/>
    </row>
    <row r="11" spans="1:11" x14ac:dyDescent="0.25">
      <c r="A11" s="4"/>
    </row>
    <row r="12" spans="1:11" x14ac:dyDescent="0.25">
      <c r="A12" s="4"/>
    </row>
    <row r="13" spans="1:11" x14ac:dyDescent="0.25">
      <c r="A13" s="4"/>
    </row>
    <row r="14" spans="1:11" x14ac:dyDescent="0.25">
      <c r="A14" s="4"/>
    </row>
    <row r="15" spans="1:11" x14ac:dyDescent="0.25">
      <c r="A15" s="4"/>
    </row>
    <row r="16" spans="1:11" x14ac:dyDescent="0.25">
      <c r="A16" s="4"/>
    </row>
    <row r="17" spans="1:11" x14ac:dyDescent="0.25">
      <c r="A17" s="4"/>
    </row>
    <row r="18" spans="1:11" x14ac:dyDescent="0.25">
      <c r="A18" s="4"/>
    </row>
    <row r="19" spans="1:11" x14ac:dyDescent="0.25">
      <c r="A19" s="4"/>
    </row>
    <row r="20" spans="1:11" x14ac:dyDescent="0.25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</row>
    <row r="26" spans="1:11" x14ac:dyDescent="0.25">
      <c r="A26" s="48"/>
      <c r="B26" s="48"/>
      <c r="C26" s="48"/>
      <c r="D26" s="48"/>
      <c r="E26" s="48"/>
      <c r="F26" s="48"/>
      <c r="G26" s="48"/>
      <c r="H26" s="48"/>
      <c r="I26" s="48"/>
      <c r="J26" s="48"/>
      <c r="K26" s="48"/>
    </row>
    <row r="27" spans="1:11" ht="15" customHeight="1" x14ac:dyDescent="0.25">
      <c r="A27" s="57" t="s">
        <v>86</v>
      </c>
      <c r="B27" s="57"/>
      <c r="C27" s="57"/>
      <c r="D27" s="57"/>
      <c r="E27" s="57"/>
      <c r="F27" s="57"/>
      <c r="G27" s="57"/>
      <c r="H27" s="57"/>
      <c r="I27" s="57"/>
      <c r="J27" s="57"/>
      <c r="K27" s="57"/>
    </row>
    <row r="28" spans="1:11" x14ac:dyDescent="0.25">
      <c r="A28" s="57"/>
      <c r="B28" s="57"/>
      <c r="C28" s="57"/>
      <c r="D28" s="57"/>
      <c r="E28" s="57"/>
      <c r="F28" s="57"/>
      <c r="G28" s="57"/>
      <c r="H28" s="57"/>
      <c r="I28" s="57"/>
      <c r="J28" s="57"/>
      <c r="K28" s="57"/>
    </row>
    <row r="29" spans="1:11" x14ac:dyDescent="0.25">
      <c r="A29" s="48"/>
      <c r="B29" s="48"/>
      <c r="C29" s="48"/>
      <c r="D29" s="48"/>
      <c r="E29" s="48"/>
      <c r="F29" s="48"/>
      <c r="G29" s="48"/>
      <c r="H29" s="48"/>
      <c r="I29" s="48"/>
      <c r="J29" s="48"/>
      <c r="K29" s="48"/>
    </row>
    <row r="30" spans="1:11" x14ac:dyDescent="0.25">
      <c r="A30" s="49" t="s">
        <v>76</v>
      </c>
    </row>
    <row r="31" spans="1:11" x14ac:dyDescent="0.25">
      <c r="A31" s="50" t="s">
        <v>77</v>
      </c>
    </row>
  </sheetData>
  <mergeCells count="1">
    <mergeCell ref="A27:K28"/>
  </mergeCells>
  <hyperlinks>
    <hyperlink ref="A31" r:id="rId1" xr:uid="{79D824F3-2ABB-4FD2-B194-8D46EEAD0024}"/>
  </hyperlinks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F54FB9-F1AD-4EB0-9782-FD3932124693}">
  <sheetPr codeName="Sheet2"/>
  <dimension ref="A1:C11"/>
  <sheetViews>
    <sheetView showGridLines="0" workbookViewId="0">
      <selection activeCell="C19" sqref="C19"/>
    </sheetView>
  </sheetViews>
  <sheetFormatPr defaultColWidth="8.85546875" defaultRowHeight="15" x14ac:dyDescent="0.25"/>
  <cols>
    <col min="1" max="1" width="29.140625" bestFit="1" customWidth="1"/>
    <col min="2" max="2" width="12.42578125" bestFit="1" customWidth="1"/>
    <col min="3" max="3" width="96" bestFit="1" customWidth="1"/>
  </cols>
  <sheetData>
    <row r="1" spans="1:3" x14ac:dyDescent="0.25">
      <c r="A1" s="2" t="s">
        <v>6</v>
      </c>
      <c r="B1" s="2" t="s">
        <v>5</v>
      </c>
      <c r="C1" s="2" t="s">
        <v>4</v>
      </c>
    </row>
    <row r="2" spans="1:3" ht="2.25" customHeight="1" thickBot="1" x14ac:dyDescent="0.3">
      <c r="A2" s="3"/>
      <c r="B2" s="3"/>
      <c r="C2" s="3"/>
    </row>
    <row r="3" spans="1:3" ht="15.75" thickBot="1" x14ac:dyDescent="0.3">
      <c r="A3" s="4" t="s">
        <v>0</v>
      </c>
      <c r="B3" s="52">
        <v>250000</v>
      </c>
      <c r="C3" t="s">
        <v>7</v>
      </c>
    </row>
    <row r="4" spans="1:3" ht="15.75" thickBot="1" x14ac:dyDescent="0.3">
      <c r="A4" s="4" t="s">
        <v>1</v>
      </c>
      <c r="B4" s="53">
        <v>3.875E-2</v>
      </c>
      <c r="C4" t="s">
        <v>10</v>
      </c>
    </row>
    <row r="5" spans="1:3" ht="15.75" thickBot="1" x14ac:dyDescent="0.3">
      <c r="A5" s="4" t="s">
        <v>3</v>
      </c>
      <c r="B5" s="54">
        <v>30</v>
      </c>
      <c r="C5" t="s">
        <v>11</v>
      </c>
    </row>
    <row r="6" spans="1:3" ht="15.75" thickBot="1" x14ac:dyDescent="0.3">
      <c r="A6" s="4" t="s">
        <v>2</v>
      </c>
      <c r="B6" s="55">
        <v>40634</v>
      </c>
      <c r="C6" t="s">
        <v>85</v>
      </c>
    </row>
    <row r="7" spans="1:3" ht="15.75" thickBot="1" x14ac:dyDescent="0.3">
      <c r="A7" s="4" t="s">
        <v>9</v>
      </c>
      <c r="B7" s="52">
        <v>3825.5</v>
      </c>
      <c r="C7" t="s">
        <v>81</v>
      </c>
    </row>
    <row r="8" spans="1:3" ht="15.75" thickBot="1" x14ac:dyDescent="0.3">
      <c r="A8" s="4" t="s">
        <v>16</v>
      </c>
      <c r="B8" s="52">
        <v>507</v>
      </c>
      <c r="C8" t="s">
        <v>82</v>
      </c>
    </row>
    <row r="9" spans="1:3" ht="15.75" thickBot="1" x14ac:dyDescent="0.3">
      <c r="A9" s="4" t="s">
        <v>12</v>
      </c>
      <c r="B9" s="52">
        <v>827.64</v>
      </c>
      <c r="C9" t="s">
        <v>83</v>
      </c>
    </row>
    <row r="10" spans="1:3" ht="15.75" thickBot="1" x14ac:dyDescent="0.3">
      <c r="A10" s="4" t="s">
        <v>33</v>
      </c>
      <c r="B10" s="55">
        <v>44562</v>
      </c>
      <c r="C10" t="s">
        <v>84</v>
      </c>
    </row>
    <row r="11" spans="1:3" ht="15.75" thickBot="1" x14ac:dyDescent="0.3">
      <c r="A11" s="4" t="s">
        <v>40</v>
      </c>
      <c r="B11" s="56">
        <v>100</v>
      </c>
      <c r="C11" t="s">
        <v>79</v>
      </c>
    </row>
  </sheetData>
  <sheetProtection algorithmName="SHA-512" hashValue="Hwh39Eft9k489/AB6swnJnVTwRfV0EEhu19mPVwy1kDjU5nZBzyEOXTZ2Tsm4WO8VFX8K0FOYOOFz9yymznhEw==" saltValue="tndSctQH83t3sI2Slbnl9A==" spinCount="100000" sheet="1" objects="1" scenarios="1"/>
  <dataConsolidate/>
  <dataValidations count="6">
    <dataValidation type="whole" allowBlank="1" showInputMessage="1" showErrorMessage="1" errorTitle="# Years" error="Please enter a value between 1 and 30" promptTitle="# Years" prompt="Please enter a value between 1 and 30 years" sqref="B5" xr:uid="{C707102A-D336-4E3B-86BF-FE46F0A71A61}">
      <formula1>1</formula1>
      <formula2>30</formula2>
    </dataValidation>
    <dataValidation type="decimal" allowBlank="1" showInputMessage="1" showErrorMessage="1" errorTitle="Interest Rate" error="Please enter a value between 1% and 50%" promptTitle="Interest Rate" prompt="Please enter a value between 1% and 50%" sqref="B4" xr:uid="{C31D4132-3D73-4B84-9D1B-463C91C96AE7}">
      <formula1>0.01</formula1>
      <formula2>0.5</formula2>
    </dataValidation>
    <dataValidation type="whole" allowBlank="1" showInputMessage="1" showErrorMessage="1" errorTitle="Loan Amount" error="Please enter an between 1 and 100,000,000" promptTitle="Loan Amount" prompt="Please enter an between 1 and 100,000,000" sqref="B3" xr:uid="{B1FE13B9-AEF2-4D0C-A72C-CF9C828092F0}">
      <formula1>1</formula1>
      <formula2>100000000</formula2>
    </dataValidation>
    <dataValidation type="date" allowBlank="1" showInputMessage="1" showErrorMessage="1" errorTitle="Date" error="Please enter the date as M/D/YYYY" promptTitle="Date" prompt="Please enter the date as M/D/YYYY" sqref="B6" xr:uid="{DAE04133-DF2E-4603-87C6-037D6D0932BB}">
      <formula1>1</formula1>
      <formula2>47484</formula2>
    </dataValidation>
    <dataValidation type="date" allowBlank="1" showInputMessage="1" showErrorMessage="1" errorTitle="Date" error="Please enter the date as M/D/YYYY" promptTitle="Date" prompt="Please enter the date as M/D/YYYY" sqref="B10" xr:uid="{58A6609A-E148-474E-BA95-165D56DE24DE}">
      <formula1>32874</formula1>
      <formula2>47484</formula2>
    </dataValidation>
    <dataValidation type="whole" allowBlank="1" showInputMessage="1" showErrorMessage="1" errorTitle="Extra Monthly Payment" error="Enter a whole number between 1 and 100,000" promptTitle="Extra Monthly Payment" prompt="Enter a whole number between 1 and 100,000" sqref="B11" xr:uid="{560F49AF-6636-452A-BA5E-803DB42D3547}">
      <formula1>1</formula1>
      <formula2>100000</formula2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4E9B51-36AA-4BDF-95DB-11E74131FB01}">
  <sheetPr codeName="Sheet3">
    <pageSetUpPr fitToPage="1"/>
  </sheetPr>
  <dimension ref="B1:U54"/>
  <sheetViews>
    <sheetView tabSelected="1" zoomScaleNormal="100" zoomScaleSheetLayoutView="90" zoomScalePageLayoutView="80" workbookViewId="0">
      <selection activeCell="X22" sqref="X22"/>
    </sheetView>
  </sheetViews>
  <sheetFormatPr defaultColWidth="9.140625" defaultRowHeight="14.25" x14ac:dyDescent="0.2"/>
  <cols>
    <col min="1" max="1" width="0.7109375" style="22" customWidth="1"/>
    <col min="2" max="2" width="27.7109375" style="22" customWidth="1"/>
    <col min="3" max="3" width="11.7109375" style="22" bestFit="1" customWidth="1"/>
    <col min="4" max="4" width="9.42578125" style="22" customWidth="1"/>
    <col min="5" max="5" width="9.42578125" style="22" bestFit="1" customWidth="1"/>
    <col min="6" max="6" width="9.42578125" style="22" customWidth="1"/>
    <col min="7" max="7" width="1.85546875" style="22" customWidth="1"/>
    <col min="8" max="8" width="9.140625" style="22"/>
    <col min="9" max="9" width="2.140625" style="22" customWidth="1"/>
    <col min="10" max="10" width="12.42578125" style="22" bestFit="1" customWidth="1"/>
    <col min="11" max="11" width="19" style="22" customWidth="1"/>
    <col min="12" max="12" width="19.7109375" style="22" customWidth="1"/>
    <col min="13" max="13" width="18.85546875" style="22" customWidth="1"/>
    <col min="14" max="14" width="3.7109375" style="22" customWidth="1"/>
    <col min="15" max="15" width="21.7109375" style="22" bestFit="1" customWidth="1"/>
    <col min="16" max="16" width="21.42578125" style="22" bestFit="1" customWidth="1"/>
    <col min="17" max="17" width="11" style="22" bestFit="1" customWidth="1"/>
    <col min="18" max="18" width="9.140625" style="22"/>
    <col min="19" max="19" width="2.140625" style="22" customWidth="1"/>
    <col min="20" max="20" width="9.140625" style="22"/>
    <col min="21" max="21" width="9.28515625" style="22" bestFit="1" customWidth="1"/>
    <col min="22" max="16384" width="9.140625" style="22"/>
  </cols>
  <sheetData>
    <row r="1" spans="2:21" ht="20.25" x14ac:dyDescent="0.3">
      <c r="B1" s="25" t="s">
        <v>66</v>
      </c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</row>
    <row r="2" spans="2:21" ht="15" x14ac:dyDescent="0.25">
      <c r="B2" s="27"/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</row>
    <row r="3" spans="2:21" ht="15" x14ac:dyDescent="0.25">
      <c r="B3" s="28" t="s">
        <v>38</v>
      </c>
      <c r="C3" s="29">
        <f>+References!B9</f>
        <v>0.31150000288413671</v>
      </c>
      <c r="D3" s="26"/>
      <c r="E3" s="26"/>
      <c r="F3" s="26"/>
      <c r="G3" s="26"/>
      <c r="H3" s="26"/>
      <c r="I3" s="26"/>
      <c r="J3" s="26"/>
      <c r="K3" s="26"/>
      <c r="L3" s="26"/>
      <c r="M3" s="26"/>
      <c r="N3" s="26"/>
      <c r="O3" s="26"/>
      <c r="P3" s="30"/>
      <c r="Q3" s="26"/>
      <c r="R3" s="26"/>
      <c r="S3" s="26"/>
      <c r="T3" s="26"/>
      <c r="U3" s="26"/>
    </row>
    <row r="4" spans="2:21" x14ac:dyDescent="0.2">
      <c r="B4" s="30"/>
      <c r="C4" s="26"/>
      <c r="D4" s="26"/>
      <c r="E4" s="26"/>
      <c r="F4" s="26"/>
      <c r="G4" s="26"/>
      <c r="H4" s="26"/>
      <c r="I4" s="26"/>
      <c r="J4" s="26"/>
      <c r="K4" s="26"/>
      <c r="L4" s="26"/>
      <c r="M4" s="26"/>
      <c r="N4" s="26"/>
      <c r="O4" s="26"/>
      <c r="P4" s="30"/>
      <c r="Q4" s="26"/>
      <c r="R4" s="26"/>
      <c r="S4" s="26"/>
      <c r="T4" s="26"/>
      <c r="U4" s="26"/>
    </row>
    <row r="5" spans="2:21" x14ac:dyDescent="0.2">
      <c r="B5" s="44">
        <v>0</v>
      </c>
      <c r="C5" s="26"/>
      <c r="D5" s="26"/>
      <c r="E5" s="26"/>
      <c r="F5" s="26"/>
      <c r="G5" s="26"/>
      <c r="H5" s="26"/>
      <c r="I5" s="26"/>
      <c r="J5" s="26"/>
      <c r="K5" s="26"/>
      <c r="L5" s="26"/>
      <c r="M5" s="26"/>
      <c r="N5" s="26"/>
      <c r="O5" s="26"/>
      <c r="P5" s="30"/>
      <c r="Q5" s="44"/>
      <c r="R5" s="26"/>
      <c r="S5" s="51"/>
      <c r="T5" s="44">
        <v>1</v>
      </c>
      <c r="U5" s="26"/>
    </row>
    <row r="6" spans="2:21" x14ac:dyDescent="0.2">
      <c r="B6" s="30"/>
      <c r="C6" s="26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26"/>
      <c r="P6" s="30"/>
      <c r="Q6" s="26"/>
      <c r="R6" s="26"/>
      <c r="S6" s="26"/>
      <c r="T6" s="26"/>
      <c r="U6" s="26"/>
    </row>
    <row r="7" spans="2:21" ht="15" x14ac:dyDescent="0.25">
      <c r="B7" s="60" t="s">
        <v>67</v>
      </c>
      <c r="C7" s="60"/>
      <c r="D7" s="60"/>
      <c r="E7" s="60"/>
      <c r="F7" s="60"/>
      <c r="G7" s="60"/>
      <c r="H7" s="60"/>
      <c r="I7" s="26"/>
      <c r="J7" s="59" t="s">
        <v>68</v>
      </c>
      <c r="K7" s="59"/>
      <c r="L7" s="59"/>
      <c r="M7" s="59"/>
      <c r="N7" s="26"/>
      <c r="O7" s="61" t="s">
        <v>54</v>
      </c>
      <c r="P7" s="61"/>
      <c r="Q7" s="61"/>
      <c r="R7" s="61"/>
      <c r="S7" s="61"/>
      <c r="T7" s="61"/>
      <c r="U7" s="61"/>
    </row>
    <row r="8" spans="2:21" ht="15" x14ac:dyDescent="0.25">
      <c r="B8" s="27"/>
      <c r="C8" s="30"/>
      <c r="D8" s="30"/>
      <c r="E8" s="30"/>
      <c r="F8" s="30"/>
      <c r="G8" s="26"/>
      <c r="H8" s="26"/>
      <c r="I8" s="26"/>
      <c r="J8" s="26"/>
      <c r="K8" s="26"/>
      <c r="L8" s="26"/>
      <c r="M8" s="26"/>
      <c r="N8" s="26"/>
      <c r="O8" s="26"/>
      <c r="P8" s="30"/>
      <c r="Q8" s="30"/>
      <c r="R8" s="26"/>
      <c r="S8" s="26"/>
      <c r="T8" s="26"/>
      <c r="U8" s="26"/>
    </row>
    <row r="9" spans="2:21" ht="15" x14ac:dyDescent="0.25">
      <c r="B9" s="27" t="s">
        <v>17</v>
      </c>
      <c r="C9" s="31">
        <f>+L14</f>
        <v>1605.6043763325149</v>
      </c>
      <c r="D9" s="26"/>
      <c r="E9" s="26"/>
      <c r="F9" s="26"/>
      <c r="G9" s="26"/>
      <c r="H9" s="26"/>
      <c r="I9" s="26"/>
      <c r="J9" s="27" t="s">
        <v>18</v>
      </c>
      <c r="K9" s="30"/>
      <c r="L9" s="27" t="s">
        <v>19</v>
      </c>
      <c r="M9" s="27" t="s">
        <v>20</v>
      </c>
      <c r="N9" s="26"/>
      <c r="O9" s="27" t="s">
        <v>74</v>
      </c>
      <c r="P9" s="27" t="s">
        <v>73</v>
      </c>
      <c r="Q9" s="27" t="s">
        <v>71</v>
      </c>
      <c r="R9" s="26"/>
      <c r="S9" s="26"/>
      <c r="T9" s="26"/>
      <c r="U9" s="26"/>
    </row>
    <row r="10" spans="2:21" ht="15" x14ac:dyDescent="0.25">
      <c r="B10" s="27"/>
      <c r="C10" s="30"/>
      <c r="D10" s="26"/>
      <c r="E10" s="26"/>
      <c r="F10" s="26"/>
      <c r="G10" s="26"/>
      <c r="H10" s="26"/>
      <c r="I10" s="26"/>
      <c r="J10" s="30" t="s">
        <v>13</v>
      </c>
      <c r="K10" s="30"/>
      <c r="L10" s="32">
        <f>PMT(Inputs!B4/12,Inputs!B5*12,-Inputs!B3,,0)</f>
        <v>1175.5927096658481</v>
      </c>
      <c r="M10" s="33">
        <f>+L10/$L$14</f>
        <v>0.7321808080463198</v>
      </c>
      <c r="N10" s="26"/>
      <c r="O10" s="30" t="s">
        <v>72</v>
      </c>
      <c r="P10" s="30" t="str">
        <f>+TEXT(Inputs!B5,"#,##0.0")</f>
        <v>30.0</v>
      </c>
      <c r="Q10" s="34">
        <f>+References!B30</f>
        <v>173213.37547970546</v>
      </c>
      <c r="R10" s="26"/>
      <c r="S10" s="26"/>
      <c r="T10" s="26"/>
      <c r="U10" s="26"/>
    </row>
    <row r="11" spans="2:21" ht="15" x14ac:dyDescent="0.25">
      <c r="B11" s="27" t="s">
        <v>34</v>
      </c>
      <c r="C11" s="35">
        <f>+References!B2</f>
        <v>130</v>
      </c>
      <c r="D11" s="26"/>
      <c r="E11" s="26"/>
      <c r="F11" s="26"/>
      <c r="G11" s="26"/>
      <c r="H11" s="26"/>
      <c r="I11" s="26"/>
      <c r="J11" s="30" t="s">
        <v>8</v>
      </c>
      <c r="K11" s="30"/>
      <c r="L11" s="32">
        <f>+Inputs!B7/12</f>
        <v>318.79166666666669</v>
      </c>
      <c r="M11" s="33">
        <f>+L11/$L$14</f>
        <v>0.19854932595216473</v>
      </c>
      <c r="N11" s="26"/>
      <c r="O11" s="30" t="s">
        <v>32</v>
      </c>
      <c r="P11" s="36">
        <f>+ROUND(((Inputs!B5*12)-References!B21)/12,1)</f>
        <v>25.9</v>
      </c>
      <c r="Q11" s="34">
        <f>+References!C30</f>
        <v>146473.05451142858</v>
      </c>
      <c r="R11" s="26"/>
      <c r="S11" s="26"/>
      <c r="T11" s="26"/>
      <c r="U11" s="26"/>
    </row>
    <row r="12" spans="2:21" ht="15.75" thickBot="1" x14ac:dyDescent="0.3">
      <c r="B12" s="26"/>
      <c r="C12" s="26"/>
      <c r="D12" s="26"/>
      <c r="E12" s="26"/>
      <c r="F12" s="26"/>
      <c r="G12" s="26"/>
      <c r="H12" s="26"/>
      <c r="I12" s="26"/>
      <c r="J12" s="30" t="s">
        <v>15</v>
      </c>
      <c r="K12" s="30"/>
      <c r="L12" s="32">
        <f>+Inputs!B8/12</f>
        <v>42.25</v>
      </c>
      <c r="M12" s="33">
        <f>+L12/$L$14</f>
        <v>2.6314078749901326E-2</v>
      </c>
      <c r="N12" s="26"/>
      <c r="O12" s="37" t="s">
        <v>70</v>
      </c>
      <c r="P12" s="37" t="str">
        <f>+References!B23</f>
        <v>4 years &amp; 0 months</v>
      </c>
      <c r="Q12" s="38">
        <f>+Q10-Q11</f>
        <v>26740.320968276879</v>
      </c>
      <c r="R12" s="26"/>
      <c r="S12" s="26"/>
      <c r="T12" s="26"/>
      <c r="U12" s="26"/>
    </row>
    <row r="13" spans="2:21" ht="15.75" thickTop="1" x14ac:dyDescent="0.25">
      <c r="B13" s="27" t="s">
        <v>69</v>
      </c>
      <c r="C13" s="35">
        <f>+References!B3</f>
        <v>230</v>
      </c>
      <c r="D13" s="26"/>
      <c r="E13" s="26"/>
      <c r="F13" s="26"/>
      <c r="G13" s="26"/>
      <c r="H13" s="26"/>
      <c r="I13" s="26"/>
      <c r="J13" s="30" t="s">
        <v>14</v>
      </c>
      <c r="K13" s="30"/>
      <c r="L13" s="32">
        <f>+Inputs!B9/12</f>
        <v>68.97</v>
      </c>
      <c r="M13" s="33">
        <f>+L13/$L$14</f>
        <v>4.2955787251614065E-2</v>
      </c>
      <c r="N13" s="26"/>
      <c r="O13" s="30" t="str">
        <f>"*Scenario Analysis assumes you pay an extra "&amp;DOLLAR(Inputs!B11,0)&amp;" per month"</f>
        <v>*Scenario Analysis assumes you pay an extra $100 per month</v>
      </c>
      <c r="P13" s="30"/>
      <c r="Q13" s="30"/>
      <c r="R13" s="26"/>
      <c r="S13" s="26"/>
      <c r="T13" s="26"/>
      <c r="U13" s="26"/>
    </row>
    <row r="14" spans="2:21" ht="15.75" customHeight="1" thickBot="1" x14ac:dyDescent="0.3">
      <c r="B14" s="39"/>
      <c r="C14" s="26"/>
      <c r="D14" s="26"/>
      <c r="E14" s="26"/>
      <c r="F14" s="26"/>
      <c r="G14" s="26"/>
      <c r="H14" s="26"/>
      <c r="I14" s="26"/>
      <c r="J14" s="37" t="s">
        <v>17</v>
      </c>
      <c r="K14" s="40"/>
      <c r="L14" s="41">
        <f>SUM(L10:L13)</f>
        <v>1605.6043763325149</v>
      </c>
      <c r="M14" s="46">
        <f>+L14/$L$14</f>
        <v>1</v>
      </c>
      <c r="N14" s="26"/>
      <c r="O14" s="58" t="str">
        <f>"If you pay an extra "&amp;DOLLAR(Inputs!B11,0)&amp;" per month, you could shorten your loan by "&amp;Dashboard!P12&amp;" and save "&amp;DOLLAR(Dashboard!Q12,0)&amp;" in interest!"</f>
        <v>If you pay an extra $100 per month, you could shorten your loan by 4 years &amp; 0 months and save $26,740 in interest!</v>
      </c>
      <c r="P14" s="58"/>
      <c r="Q14" s="58"/>
      <c r="R14" s="58"/>
      <c r="S14" s="58"/>
      <c r="T14" s="58"/>
      <c r="U14" s="58"/>
    </row>
    <row r="15" spans="2:21" ht="15.75" customHeight="1" thickTop="1" x14ac:dyDescent="0.25">
      <c r="B15" s="27" t="s">
        <v>21</v>
      </c>
      <c r="C15" s="42">
        <f>EOMONTH(Inputs!B6,(12*Inputs!B5-2))+1</f>
        <v>51561</v>
      </c>
      <c r="D15" s="26"/>
      <c r="E15" s="26"/>
      <c r="F15" s="26"/>
      <c r="G15" s="26"/>
      <c r="H15" s="26"/>
      <c r="I15" s="26"/>
      <c r="J15" s="26"/>
      <c r="K15" s="26"/>
      <c r="L15" s="26"/>
      <c r="M15" s="26"/>
      <c r="N15" s="26"/>
      <c r="O15" s="58"/>
      <c r="P15" s="58"/>
      <c r="Q15" s="58"/>
      <c r="R15" s="58"/>
      <c r="S15" s="58"/>
      <c r="T15" s="58"/>
      <c r="U15" s="58"/>
    </row>
    <row r="16" spans="2:21" ht="18" x14ac:dyDescent="0.25">
      <c r="B16" s="26"/>
      <c r="C16" s="26"/>
      <c r="D16" s="43"/>
      <c r="E16" s="26"/>
      <c r="F16" s="26"/>
      <c r="G16" s="26"/>
      <c r="H16" s="26"/>
      <c r="I16" s="26"/>
      <c r="J16" s="26"/>
      <c r="K16" s="26"/>
      <c r="L16" s="26"/>
      <c r="M16" s="26"/>
      <c r="N16" s="45"/>
      <c r="O16" s="58"/>
      <c r="P16" s="58"/>
      <c r="Q16" s="58"/>
      <c r="R16" s="58"/>
      <c r="S16" s="58"/>
      <c r="T16" s="58"/>
      <c r="U16" s="58"/>
    </row>
    <row r="17" spans="2:21" ht="14.25" customHeight="1" x14ac:dyDescent="0.2">
      <c r="B17" s="30"/>
      <c r="C17" s="30"/>
      <c r="D17" s="30"/>
      <c r="E17" s="26"/>
      <c r="F17" s="26"/>
      <c r="G17" s="26"/>
      <c r="H17" s="26"/>
      <c r="I17" s="26"/>
      <c r="J17" s="26"/>
      <c r="K17" s="26"/>
      <c r="L17" s="26"/>
      <c r="M17" s="45"/>
      <c r="N17" s="45"/>
      <c r="O17" s="58"/>
      <c r="P17" s="58"/>
      <c r="Q17" s="58"/>
      <c r="R17" s="58"/>
      <c r="S17" s="58"/>
      <c r="T17" s="58"/>
      <c r="U17" s="58"/>
    </row>
    <row r="18" spans="2:21" ht="14.25" customHeight="1" x14ac:dyDescent="0.2">
      <c r="B18" s="30"/>
      <c r="C18" s="30"/>
      <c r="D18" s="30"/>
      <c r="E18" s="26"/>
      <c r="F18" s="26"/>
      <c r="G18" s="26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</row>
    <row r="19" spans="2:21" x14ac:dyDescent="0.2">
      <c r="B19" s="30"/>
      <c r="C19" s="30"/>
      <c r="D19" s="30"/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</row>
    <row r="20" spans="2:21" x14ac:dyDescent="0.2">
      <c r="B20" s="26"/>
      <c r="C20" s="26"/>
      <c r="D20" s="26"/>
      <c r="E20" s="26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</row>
    <row r="21" spans="2:21" x14ac:dyDescent="0.2">
      <c r="B21" s="26"/>
      <c r="C21" s="26"/>
      <c r="D21" s="26"/>
      <c r="E21" s="26"/>
      <c r="F21" s="26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</row>
    <row r="22" spans="2:21" x14ac:dyDescent="0.2">
      <c r="B22" s="26"/>
      <c r="C22" s="26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</row>
    <row r="23" spans="2:21" x14ac:dyDescent="0.2">
      <c r="B23" s="26"/>
      <c r="C23" s="26"/>
      <c r="D23" s="26"/>
      <c r="E23" s="26"/>
      <c r="F23" s="26"/>
      <c r="G23" s="26"/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</row>
    <row r="24" spans="2:21" x14ac:dyDescent="0.2">
      <c r="B24" s="26"/>
      <c r="C24" s="26"/>
      <c r="D24" s="26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</row>
    <row r="25" spans="2:21" x14ac:dyDescent="0.2">
      <c r="B25" s="26"/>
      <c r="C25" s="26"/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</row>
    <row r="26" spans="2:21" x14ac:dyDescent="0.2">
      <c r="B26" s="26"/>
      <c r="C26" s="26"/>
      <c r="D26" s="26"/>
      <c r="E26" s="26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</row>
    <row r="27" spans="2:21" ht="15" x14ac:dyDescent="0.25">
      <c r="B27" s="26"/>
      <c r="C27" s="26"/>
      <c r="D27" s="26"/>
      <c r="E27" s="26"/>
      <c r="F27" s="26"/>
      <c r="G27" s="26"/>
      <c r="H27" s="26"/>
      <c r="I27" s="26"/>
      <c r="J27" s="26"/>
      <c r="K27" s="26"/>
      <c r="L27" s="26"/>
      <c r="M27" s="26"/>
      <c r="N27" s="39"/>
      <c r="O27" s="26"/>
      <c r="P27" s="26"/>
      <c r="Q27" s="26"/>
      <c r="R27" s="26"/>
      <c r="S27" s="26"/>
      <c r="T27" s="26"/>
      <c r="U27" s="26"/>
    </row>
    <row r="28" spans="2:21" x14ac:dyDescent="0.2">
      <c r="B28" s="26"/>
      <c r="C28" s="26"/>
      <c r="D28" s="26"/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</row>
    <row r="29" spans="2:21" x14ac:dyDescent="0.2">
      <c r="B29" s="26"/>
      <c r="C29" s="26"/>
      <c r="D29" s="26"/>
      <c r="E29" s="26"/>
      <c r="F29" s="26"/>
      <c r="G29" s="26"/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</row>
    <row r="30" spans="2:21" x14ac:dyDescent="0.2">
      <c r="B30" s="26"/>
      <c r="C30" s="26"/>
      <c r="D30" s="26"/>
      <c r="E30" s="26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</row>
    <row r="31" spans="2:21" x14ac:dyDescent="0.2">
      <c r="B31" s="26"/>
      <c r="C31" s="26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</row>
    <row r="32" spans="2:21" ht="15" x14ac:dyDescent="0.25">
      <c r="B32" s="26"/>
      <c r="C32" s="26"/>
      <c r="D32" s="26"/>
      <c r="E32" s="26"/>
      <c r="F32" s="26"/>
      <c r="G32" s="26"/>
      <c r="H32" s="26"/>
      <c r="I32" s="26"/>
      <c r="J32" s="26"/>
      <c r="K32" s="26"/>
      <c r="L32" s="26"/>
      <c r="M32" s="26"/>
      <c r="N32" s="39"/>
      <c r="O32" s="26"/>
      <c r="P32" s="26"/>
      <c r="Q32" s="26"/>
      <c r="R32" s="26"/>
      <c r="S32" s="26"/>
      <c r="T32" s="26"/>
      <c r="U32" s="26"/>
    </row>
    <row r="33" spans="2:21" x14ac:dyDescent="0.2">
      <c r="B33" s="26"/>
      <c r="C33" s="26"/>
      <c r="D33" s="26"/>
      <c r="E33" s="26"/>
      <c r="F33" s="26"/>
      <c r="G33" s="26"/>
      <c r="H33" s="26"/>
      <c r="I33" s="26"/>
      <c r="J33" s="26"/>
      <c r="K33" s="26"/>
      <c r="L33" s="26"/>
      <c r="M33" s="30"/>
      <c r="N33" s="30"/>
      <c r="O33" s="30"/>
      <c r="P33" s="30"/>
      <c r="Q33" s="26"/>
      <c r="R33" s="26"/>
      <c r="S33" s="26"/>
      <c r="T33" s="26"/>
      <c r="U33" s="26"/>
    </row>
    <row r="34" spans="2:21" x14ac:dyDescent="0.2">
      <c r="B34" s="26"/>
      <c r="C34" s="26"/>
      <c r="D34" s="26"/>
      <c r="E34" s="26"/>
      <c r="F34" s="26"/>
      <c r="G34" s="26"/>
      <c r="H34" s="26"/>
      <c r="I34" s="26"/>
      <c r="J34" s="26"/>
      <c r="K34" s="26"/>
      <c r="L34" s="26"/>
      <c r="M34" s="30"/>
      <c r="N34" s="30"/>
      <c r="O34" s="30"/>
      <c r="P34" s="30"/>
      <c r="Q34" s="26"/>
      <c r="R34" s="26"/>
      <c r="S34" s="26"/>
      <c r="T34" s="26"/>
      <c r="U34" s="26"/>
    </row>
    <row r="35" spans="2:21" x14ac:dyDescent="0.2">
      <c r="M35" s="23"/>
      <c r="N35" s="23"/>
      <c r="O35" s="23"/>
      <c r="P35" s="23"/>
    </row>
    <row r="36" spans="2:21" x14ac:dyDescent="0.2">
      <c r="B36" s="23"/>
      <c r="C36" s="23"/>
      <c r="D36" s="23"/>
      <c r="E36" s="23"/>
      <c r="F36" s="23"/>
      <c r="G36" s="23"/>
      <c r="H36" s="23"/>
      <c r="I36" s="23"/>
      <c r="M36" s="23"/>
      <c r="N36" s="23"/>
      <c r="O36" s="23"/>
      <c r="P36" s="23"/>
      <c r="Q36" s="23"/>
      <c r="R36" s="23"/>
      <c r="S36" s="23"/>
      <c r="T36" s="23"/>
      <c r="U36" s="23"/>
    </row>
    <row r="37" spans="2:21" x14ac:dyDescent="0.2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</row>
    <row r="38" spans="2:21" x14ac:dyDescent="0.2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</row>
    <row r="39" spans="2:21" x14ac:dyDescent="0.2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</row>
    <row r="40" spans="2:21" x14ac:dyDescent="0.2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</row>
    <row r="41" spans="2:21" x14ac:dyDescent="0.2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</row>
    <row r="42" spans="2:21" x14ac:dyDescent="0.2">
      <c r="B42" s="23"/>
      <c r="C42" s="23"/>
      <c r="D42" s="23"/>
      <c r="E42" s="23"/>
      <c r="F42" s="23"/>
      <c r="G42" s="23"/>
      <c r="L42" s="23"/>
      <c r="M42" s="23"/>
      <c r="N42" s="23"/>
      <c r="O42" s="23"/>
      <c r="P42" s="23"/>
      <c r="Q42" s="23"/>
      <c r="R42" s="23"/>
      <c r="S42" s="23"/>
      <c r="T42" s="23"/>
      <c r="U42" s="23"/>
    </row>
    <row r="43" spans="2:21" x14ac:dyDescent="0.2">
      <c r="B43" s="23"/>
      <c r="C43" s="23"/>
      <c r="D43" s="23"/>
      <c r="E43" s="23"/>
      <c r="F43" s="23"/>
      <c r="G43" s="23"/>
      <c r="L43" s="23"/>
      <c r="M43" s="23"/>
      <c r="N43" s="23"/>
      <c r="O43" s="23"/>
      <c r="P43" s="23"/>
      <c r="Q43" s="23"/>
      <c r="R43" s="23"/>
      <c r="S43" s="23"/>
      <c r="T43" s="23"/>
      <c r="U43" s="23"/>
    </row>
    <row r="44" spans="2:21" x14ac:dyDescent="0.2">
      <c r="B44" s="23"/>
      <c r="C44" s="23"/>
      <c r="D44" s="23"/>
      <c r="E44" s="23"/>
      <c r="F44" s="23"/>
      <c r="G44" s="23"/>
      <c r="L44" s="23"/>
      <c r="M44" s="23"/>
      <c r="N44" s="23"/>
      <c r="O44" s="23"/>
      <c r="P44" s="23"/>
      <c r="Q44" s="23"/>
      <c r="R44" s="23"/>
      <c r="S44" s="23"/>
      <c r="T44" s="23"/>
      <c r="U44" s="23"/>
    </row>
    <row r="45" spans="2:21" x14ac:dyDescent="0.2">
      <c r="B45" s="23"/>
      <c r="C45" s="23"/>
      <c r="D45" s="23"/>
      <c r="E45" s="23"/>
      <c r="F45" s="23"/>
      <c r="G45" s="23"/>
      <c r="L45" s="23"/>
      <c r="Q45" s="23"/>
      <c r="R45" s="23"/>
      <c r="S45" s="23"/>
      <c r="T45" s="23"/>
      <c r="U45" s="23"/>
    </row>
    <row r="46" spans="2:21" x14ac:dyDescent="0.2">
      <c r="B46" s="23"/>
      <c r="C46" s="23"/>
      <c r="D46" s="23"/>
      <c r="E46" s="23"/>
      <c r="F46" s="23"/>
      <c r="G46" s="23"/>
      <c r="L46" s="23"/>
      <c r="Q46" s="23"/>
      <c r="R46" s="23"/>
      <c r="S46" s="23"/>
      <c r="T46" s="23"/>
      <c r="U46" s="23"/>
    </row>
    <row r="47" spans="2:21" x14ac:dyDescent="0.2">
      <c r="B47" s="23"/>
      <c r="C47" s="23"/>
      <c r="D47" s="23"/>
      <c r="E47" s="23"/>
      <c r="F47" s="23"/>
      <c r="G47" s="23"/>
      <c r="L47" s="23"/>
      <c r="Q47" s="23"/>
      <c r="R47" s="23"/>
      <c r="S47" s="23"/>
      <c r="T47" s="23"/>
      <c r="U47" s="23"/>
    </row>
    <row r="54" spans="3:3" ht="15" x14ac:dyDescent="0.25">
      <c r="C54" s="24"/>
    </row>
  </sheetData>
  <sheetProtection algorithmName="SHA-512" hashValue="cAP8i2TErQxKRIhbMvnBakiW4L9/DZ2ZfUKZSnST9pGfGMVw5fAhjmHkDMseDgTJq/yGMOuDQtVij6/5e9zXgg==" saltValue="TiP6fNKyD+vvrVtGn2t1/g==" spinCount="100000" sheet="1" objects="1" scenarios="1" formatColumns="0" formatRows="0"/>
  <mergeCells count="4">
    <mergeCell ref="O14:U17"/>
    <mergeCell ref="J7:M7"/>
    <mergeCell ref="B7:H7"/>
    <mergeCell ref="O7:U7"/>
  </mergeCells>
  <pageMargins left="0.7" right="0.7" top="0.75" bottom="0.75" header="0.3" footer="0.3"/>
  <pageSetup scale="50" orientation="landscape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B650A2-C8D0-44B8-9FCA-570F2E5BEEE5}">
  <sheetPr codeName="Sheet4">
    <pageSetUpPr fitToPage="1"/>
  </sheetPr>
  <dimension ref="A1:R363"/>
  <sheetViews>
    <sheetView zoomScale="80" zoomScaleNormal="80" workbookViewId="0">
      <pane ySplit="3" topLeftCell="A4" activePane="bottomLeft" state="frozen"/>
      <selection pane="bottomLeft" activeCell="B35" sqref="B35"/>
    </sheetView>
  </sheetViews>
  <sheetFormatPr defaultColWidth="14.7109375" defaultRowHeight="15" x14ac:dyDescent="0.25"/>
  <cols>
    <col min="3" max="9" width="14.7109375" style="6"/>
    <col min="10" max="10" width="2" customWidth="1"/>
  </cols>
  <sheetData>
    <row r="1" spans="1:18" x14ac:dyDescent="0.25">
      <c r="A1" s="8" t="s">
        <v>22</v>
      </c>
    </row>
    <row r="2" spans="1:18" s="4" customFormat="1" x14ac:dyDescent="0.25">
      <c r="A2" s="62" t="s">
        <v>44</v>
      </c>
      <c r="B2" s="62"/>
      <c r="C2" s="62"/>
      <c r="D2" s="62"/>
      <c r="E2" s="62"/>
      <c r="F2" s="62"/>
      <c r="G2" s="62"/>
      <c r="H2" s="62"/>
      <c r="I2" s="62"/>
      <c r="J2" s="63" t="s">
        <v>32</v>
      </c>
      <c r="K2" s="63"/>
      <c r="L2" s="63"/>
      <c r="M2" s="63"/>
      <c r="N2" s="63"/>
      <c r="O2" s="63"/>
      <c r="P2" s="63"/>
      <c r="Q2" s="63"/>
      <c r="R2" s="63"/>
    </row>
    <row r="3" spans="1:18" s="12" customFormat="1" ht="38.25" customHeight="1" x14ac:dyDescent="0.25">
      <c r="A3" s="12" t="s">
        <v>23</v>
      </c>
      <c r="B3" s="12" t="s">
        <v>24</v>
      </c>
      <c r="C3" s="13" t="s">
        <v>25</v>
      </c>
      <c r="D3" s="13" t="s">
        <v>26</v>
      </c>
      <c r="E3" s="13" t="s">
        <v>27</v>
      </c>
      <c r="F3" s="13" t="s">
        <v>28</v>
      </c>
      <c r="G3" s="13" t="s">
        <v>29</v>
      </c>
      <c r="H3" s="13" t="s">
        <v>30</v>
      </c>
      <c r="I3" s="13" t="s">
        <v>31</v>
      </c>
      <c r="J3" s="14" t="s">
        <v>52</v>
      </c>
      <c r="K3" s="13" t="s">
        <v>45</v>
      </c>
      <c r="L3" s="13" t="s">
        <v>46</v>
      </c>
      <c r="M3" s="13" t="s">
        <v>43</v>
      </c>
      <c r="N3" s="13" t="s">
        <v>47</v>
      </c>
      <c r="O3" s="13" t="s">
        <v>48</v>
      </c>
      <c r="P3" s="13" t="s">
        <v>49</v>
      </c>
      <c r="Q3" s="13" t="s">
        <v>50</v>
      </c>
      <c r="R3" s="13" t="s">
        <v>51</v>
      </c>
    </row>
    <row r="4" spans="1:18" x14ac:dyDescent="0.25">
      <c r="A4">
        <v>1</v>
      </c>
      <c r="B4" s="1">
        <f>+Inputs!B6</f>
        <v>40634</v>
      </c>
      <c r="C4" s="6">
        <f>+Inputs!B3</f>
        <v>250000</v>
      </c>
      <c r="D4" s="7">
        <f>PPMT(Inputs!$B$4/12,A4,Inputs!$B$5*12,-'Amortization Table'!$C$4)</f>
        <v>368.30104299918156</v>
      </c>
      <c r="E4" s="7">
        <f>IPMT(Inputs!$B$4/12,'Amortization Table'!A4,Inputs!$B$5*12,-'Amortization Table'!$C$4)</f>
        <v>807.29166666666652</v>
      </c>
      <c r="F4" s="7">
        <f t="shared" ref="F4:F67" si="0">+SUM(D4:E4)</f>
        <v>1175.5927096658481</v>
      </c>
      <c r="G4" s="6">
        <f t="shared" ref="G4:G67" si="1">+C4-D4</f>
        <v>249631.69895700083</v>
      </c>
      <c r="H4" s="5">
        <f>+Table1[[#This Row],[PRINCIPAL]]</f>
        <v>368.30104299918156</v>
      </c>
      <c r="I4" s="7">
        <f>Table1[[#This Row],[INTEREST]]</f>
        <v>807.29166666666652</v>
      </c>
      <c r="J4" s="11"/>
      <c r="K4" s="7">
        <f>+Table1[[#This Row],[BEGINNING BALANCE]]</f>
        <v>250000</v>
      </c>
      <c r="L4" s="7">
        <f>+References!$B$1-Table1[[#This Row],[INTEREST ]]</f>
        <v>368.3010429991815</v>
      </c>
      <c r="M4" s="5">
        <f>+Inputs!$B$11</f>
        <v>100</v>
      </c>
      <c r="N4" s="7">
        <f>+Table1[[#This Row],[BEGINNING BALANCE ]]*Inputs!$B$4/12</f>
        <v>807.29166666666663</v>
      </c>
      <c r="O4" s="7">
        <f>+SUM(Table1[[#This Row],[PRINCIPAL ]:[INTEREST ]])</f>
        <v>1275.5927096658481</v>
      </c>
      <c r="P4" s="7">
        <f>+Table1[[#This Row],[BEGINNING BALANCE ]]-Table1[[#This Row],[PRINCIPAL ]]-Table1[[#This Row],[EXTRA PAYMENT]]</f>
        <v>249531.69895700083</v>
      </c>
      <c r="Q4" s="5">
        <f>+Table1[[#This Row],[PRINCIPAL ]]+Table1[[#This Row],[EXTRA PAYMENT]]</f>
        <v>468.3010429991815</v>
      </c>
      <c r="R4" s="7">
        <f>+Table1[[#This Row],[INTEREST ]]</f>
        <v>807.29166666666663</v>
      </c>
    </row>
    <row r="5" spans="1:18" x14ac:dyDescent="0.25">
      <c r="A5">
        <f>+A4+1</f>
        <v>2</v>
      </c>
      <c r="B5" s="1">
        <f>+EOMONTH(B4,0)+1</f>
        <v>40664</v>
      </c>
      <c r="C5" s="6">
        <f>+G4</f>
        <v>249631.69895700083</v>
      </c>
      <c r="D5" s="7">
        <f>PPMT(Inputs!$B$4/12,A5,Inputs!$B$5*12,-'Amortization Table'!$C$4)</f>
        <v>369.49034845053319</v>
      </c>
      <c r="E5" s="7">
        <f>IPMT(Inputs!$B$4/12,'Amortization Table'!A5,Inputs!$B$5*12,-'Amortization Table'!$C$4)</f>
        <v>806.10236121531489</v>
      </c>
      <c r="F5" s="7">
        <f t="shared" si="0"/>
        <v>1175.5927096658481</v>
      </c>
      <c r="G5" s="6">
        <f t="shared" si="1"/>
        <v>249262.20860855031</v>
      </c>
      <c r="H5" s="5">
        <f>+H4+Table1[[#This Row],[PRINCIPAL]]</f>
        <v>737.79139144971475</v>
      </c>
      <c r="I5" s="7">
        <f>Table1[[#This Row],[INTEREST]]+I4</f>
        <v>1613.3940278819814</v>
      </c>
      <c r="J5" s="11"/>
      <c r="K5" s="7">
        <f>+P4</f>
        <v>249531.69895700083</v>
      </c>
      <c r="L5" s="7">
        <f>+References!$B$1-Table1[[#This Row],[INTEREST ]]</f>
        <v>369.81326511719965</v>
      </c>
      <c r="M5" s="5">
        <f>+Inputs!$B$11</f>
        <v>100</v>
      </c>
      <c r="N5" s="7">
        <f>+Table1[[#This Row],[BEGINNING BALANCE ]]*Inputs!$B$4/12</f>
        <v>805.77944454864848</v>
      </c>
      <c r="O5" s="7">
        <f>+SUM(Table1[[#This Row],[PRINCIPAL ]:[INTEREST ]])</f>
        <v>1275.5927096658481</v>
      </c>
      <c r="P5" s="7">
        <f>+Table1[[#This Row],[BEGINNING BALANCE ]]-Table1[[#This Row],[PRINCIPAL ]]-Table1[[#This Row],[EXTRA PAYMENT]]</f>
        <v>249061.88569188362</v>
      </c>
      <c r="Q5" s="5">
        <f>+Table1[[#This Row],[PRINCIPAL ]]+Table1[[#This Row],[EXTRA PAYMENT]]+Q4</f>
        <v>938.11430811638115</v>
      </c>
      <c r="R5" s="7">
        <f>+Table1[[#This Row],[INTEREST ]]+R4</f>
        <v>1613.0711112153151</v>
      </c>
    </row>
    <row r="6" spans="1:18" x14ac:dyDescent="0.25">
      <c r="A6">
        <f t="shared" ref="A6:A23" si="2">+A5+1</f>
        <v>3</v>
      </c>
      <c r="B6" s="1">
        <f>+EOMONTH(B5,0)+1</f>
        <v>40695</v>
      </c>
      <c r="C6" s="6">
        <f>+G5</f>
        <v>249262.20860855031</v>
      </c>
      <c r="D6" s="7">
        <f>PPMT(Inputs!$B$4/12,A6,Inputs!$B$5*12,-'Amortization Table'!$C$4)</f>
        <v>370.68349436740471</v>
      </c>
      <c r="E6" s="7">
        <f>IPMT(Inputs!$B$4/12,'Amortization Table'!A6,Inputs!$B$5*12,-'Amortization Table'!$C$4)</f>
        <v>804.90921529844343</v>
      </c>
      <c r="F6" s="7">
        <f t="shared" si="0"/>
        <v>1175.5927096658481</v>
      </c>
      <c r="G6" s="6">
        <f t="shared" si="1"/>
        <v>248891.52511418291</v>
      </c>
      <c r="H6" s="5">
        <f>+H5+Table1[[#This Row],[PRINCIPAL]]</f>
        <v>1108.4748858171195</v>
      </c>
      <c r="I6" s="7">
        <f>Table1[[#This Row],[INTEREST]]+I5</f>
        <v>2418.3032431804249</v>
      </c>
      <c r="J6" s="11"/>
      <c r="K6" s="7">
        <f t="shared" ref="K6:K69" si="3">+P5</f>
        <v>249061.88569188362</v>
      </c>
      <c r="L6" s="7">
        <f>+References!$B$1-Table1[[#This Row],[INTEREST ]]</f>
        <v>371.33037045247397</v>
      </c>
      <c r="M6" s="5">
        <f>+Inputs!$B$11</f>
        <v>100</v>
      </c>
      <c r="N6" s="7">
        <f>+Table1[[#This Row],[BEGINNING BALANCE ]]*Inputs!$B$4/12</f>
        <v>804.26233921337416</v>
      </c>
      <c r="O6" s="7">
        <f>+SUM(Table1[[#This Row],[PRINCIPAL ]:[INTEREST ]])</f>
        <v>1275.5927096658481</v>
      </c>
      <c r="P6" s="7">
        <f>+Table1[[#This Row],[BEGINNING BALANCE ]]-Table1[[#This Row],[PRINCIPAL ]]-Table1[[#This Row],[EXTRA PAYMENT]]</f>
        <v>248590.55532143114</v>
      </c>
      <c r="Q6" s="5">
        <f>+Table1[[#This Row],[PRINCIPAL ]]+Table1[[#This Row],[EXTRA PAYMENT]]+Q5</f>
        <v>1409.4446785688551</v>
      </c>
      <c r="R6" s="7">
        <f>+Table1[[#This Row],[INTEREST ]]+R5</f>
        <v>2417.3334504286895</v>
      </c>
    </row>
    <row r="7" spans="1:18" x14ac:dyDescent="0.25">
      <c r="A7">
        <f t="shared" si="2"/>
        <v>4</v>
      </c>
      <c r="B7" s="1">
        <f t="shared" ref="B7:B20" si="4">+EOMONTH(B6,0)+1</f>
        <v>40725</v>
      </c>
      <c r="C7" s="6">
        <f t="shared" ref="C7:C20" si="5">+G6</f>
        <v>248891.52511418291</v>
      </c>
      <c r="D7" s="7">
        <f>PPMT(Inputs!$B$4/12,A7,Inputs!$B$5*12,-'Amortization Table'!$C$4)</f>
        <v>371.88049315129939</v>
      </c>
      <c r="E7" s="7">
        <f>IPMT(Inputs!$B$4/12,'Amortization Table'!A7,Inputs!$B$5*12,-'Amortization Table'!$C$4)</f>
        <v>803.7122165145488</v>
      </c>
      <c r="F7" s="7">
        <f t="shared" si="0"/>
        <v>1175.5927096658481</v>
      </c>
      <c r="G7" s="6">
        <f t="shared" si="1"/>
        <v>248519.64462103162</v>
      </c>
      <c r="H7" s="5">
        <f>+H6+Table1[[#This Row],[PRINCIPAL]]</f>
        <v>1480.3553789684188</v>
      </c>
      <c r="I7" s="7">
        <f>Table1[[#This Row],[INTEREST]]+I6</f>
        <v>3222.0154596949737</v>
      </c>
      <c r="J7" s="11"/>
      <c r="K7" s="7">
        <f t="shared" si="3"/>
        <v>248590.55532143114</v>
      </c>
      <c r="L7" s="7">
        <f>+References!$B$1-Table1[[#This Row],[INTEREST ]]</f>
        <v>372.85237477372686</v>
      </c>
      <c r="M7" s="5">
        <f>+Inputs!$B$11</f>
        <v>100</v>
      </c>
      <c r="N7" s="7">
        <f>+Table1[[#This Row],[BEGINNING BALANCE ]]*Inputs!$B$4/12</f>
        <v>802.74033489212127</v>
      </c>
      <c r="O7" s="7">
        <f>+SUM(Table1[[#This Row],[PRINCIPAL ]:[INTEREST ]])</f>
        <v>1275.5927096658481</v>
      </c>
      <c r="P7" s="7">
        <f>+Table1[[#This Row],[BEGINNING BALANCE ]]-Table1[[#This Row],[PRINCIPAL ]]-Table1[[#This Row],[EXTRA PAYMENT]]</f>
        <v>248117.7029466574</v>
      </c>
      <c r="Q7" s="5">
        <f>+Table1[[#This Row],[PRINCIPAL ]]+Table1[[#This Row],[EXTRA PAYMENT]]+Q6</f>
        <v>1882.2970533425819</v>
      </c>
      <c r="R7" s="7">
        <f>+Table1[[#This Row],[INTEREST ]]+R6</f>
        <v>3220.0737853208107</v>
      </c>
    </row>
    <row r="8" spans="1:18" x14ac:dyDescent="0.25">
      <c r="A8">
        <f t="shared" si="2"/>
        <v>5</v>
      </c>
      <c r="B8" s="1">
        <f t="shared" si="4"/>
        <v>40756</v>
      </c>
      <c r="C8" s="6">
        <f t="shared" si="5"/>
        <v>248519.64462103162</v>
      </c>
      <c r="D8" s="7">
        <f>PPMT(Inputs!$B$4/12,A8,Inputs!$B$5*12,-'Amortization Table'!$C$4)</f>
        <v>373.08135724376712</v>
      </c>
      <c r="E8" s="7">
        <f>IPMT(Inputs!$B$4/12,'Amortization Table'!A8,Inputs!$B$5*12,-'Amortization Table'!$C$4)</f>
        <v>802.51135242208102</v>
      </c>
      <c r="F8" s="7">
        <f t="shared" si="0"/>
        <v>1175.5927096658481</v>
      </c>
      <c r="G8" s="6">
        <f t="shared" si="1"/>
        <v>248146.56326378786</v>
      </c>
      <c r="H8" s="5">
        <f>+H7+Table1[[#This Row],[PRINCIPAL]]</f>
        <v>1853.4367362121859</v>
      </c>
      <c r="I8" s="7">
        <f>Table1[[#This Row],[INTEREST]]+I7</f>
        <v>4024.5268121170548</v>
      </c>
      <c r="J8" s="11"/>
      <c r="K8" s="7">
        <f t="shared" si="3"/>
        <v>248117.7029466574</v>
      </c>
      <c r="L8" s="7">
        <f>+References!$B$1-Table1[[#This Row],[INTEREST ]]</f>
        <v>374.37929390060037</v>
      </c>
      <c r="M8" s="5">
        <f>+Inputs!$B$11</f>
        <v>100</v>
      </c>
      <c r="N8" s="7">
        <f>+Table1[[#This Row],[BEGINNING BALANCE ]]*Inputs!$B$4/12</f>
        <v>801.21341576524776</v>
      </c>
      <c r="O8" s="7">
        <f>+SUM(Table1[[#This Row],[PRINCIPAL ]:[INTEREST ]])</f>
        <v>1275.5927096658481</v>
      </c>
      <c r="P8" s="7">
        <f>+Table1[[#This Row],[BEGINNING BALANCE ]]-Table1[[#This Row],[PRINCIPAL ]]-Table1[[#This Row],[EXTRA PAYMENT]]</f>
        <v>247643.32365275681</v>
      </c>
      <c r="Q8" s="5">
        <f>+Table1[[#This Row],[PRINCIPAL ]]+Table1[[#This Row],[EXTRA PAYMENT]]+Q7</f>
        <v>2356.6763472431821</v>
      </c>
      <c r="R8" s="7">
        <f>+Table1[[#This Row],[INTEREST ]]+R7</f>
        <v>4021.2872010860583</v>
      </c>
    </row>
    <row r="9" spans="1:18" x14ac:dyDescent="0.25">
      <c r="A9">
        <f t="shared" si="2"/>
        <v>6</v>
      </c>
      <c r="B9" s="1">
        <f t="shared" si="4"/>
        <v>40787</v>
      </c>
      <c r="C9" s="6">
        <f t="shared" si="5"/>
        <v>248146.56326378786</v>
      </c>
      <c r="D9" s="7">
        <f>PPMT(Inputs!$B$4/12,A9,Inputs!$B$5*12,-'Amortization Table'!$C$4)</f>
        <v>374.28609912653354</v>
      </c>
      <c r="E9" s="7">
        <f>IPMT(Inputs!$B$4/12,'Amortization Table'!A9,Inputs!$B$5*12,-'Amortization Table'!$C$4)</f>
        <v>801.30661053931465</v>
      </c>
      <c r="F9" s="7">
        <f t="shared" si="0"/>
        <v>1175.5927096658481</v>
      </c>
      <c r="G9" s="6">
        <f t="shared" si="1"/>
        <v>247772.27716466133</v>
      </c>
      <c r="H9" s="5">
        <f>+H8+Table1[[#This Row],[PRINCIPAL]]</f>
        <v>2227.7228353387195</v>
      </c>
      <c r="I9" s="7">
        <f>Table1[[#This Row],[INTEREST]]+I8</f>
        <v>4825.8334226563693</v>
      </c>
      <c r="J9" s="11"/>
      <c r="K9" s="7">
        <f t="shared" si="3"/>
        <v>247643.32365275681</v>
      </c>
      <c r="L9" s="7">
        <f>+References!$B$1-Table1[[#This Row],[INTEREST ]]</f>
        <v>375.91114370382104</v>
      </c>
      <c r="M9" s="5">
        <f>+Inputs!$B$11</f>
        <v>100</v>
      </c>
      <c r="N9" s="7">
        <f>+Table1[[#This Row],[BEGINNING BALANCE ]]*Inputs!$B$4/12</f>
        <v>799.68156596202709</v>
      </c>
      <c r="O9" s="7">
        <f>+SUM(Table1[[#This Row],[PRINCIPAL ]:[INTEREST ]])</f>
        <v>1275.5927096658481</v>
      </c>
      <c r="P9" s="7">
        <f>+Table1[[#This Row],[BEGINNING BALANCE ]]-Table1[[#This Row],[PRINCIPAL ]]-Table1[[#This Row],[EXTRA PAYMENT]]</f>
        <v>247167.41250905299</v>
      </c>
      <c r="Q9" s="5">
        <f>+Table1[[#This Row],[PRINCIPAL ]]+Table1[[#This Row],[EXTRA PAYMENT]]+Q8</f>
        <v>2832.5874909470031</v>
      </c>
      <c r="R9" s="7">
        <f>+Table1[[#This Row],[INTEREST ]]+R8</f>
        <v>4820.9687670480853</v>
      </c>
    </row>
    <row r="10" spans="1:18" x14ac:dyDescent="0.25">
      <c r="A10">
        <f t="shared" si="2"/>
        <v>7</v>
      </c>
      <c r="B10" s="1">
        <f t="shared" si="4"/>
        <v>40817</v>
      </c>
      <c r="C10" s="6">
        <f t="shared" si="5"/>
        <v>247772.27716466133</v>
      </c>
      <c r="D10" s="7">
        <f>PPMT(Inputs!$B$4/12,A10,Inputs!$B$5*12,-'Amortization Table'!$C$4)</f>
        <v>375.49473132162962</v>
      </c>
      <c r="E10" s="7">
        <f>IPMT(Inputs!$B$4/12,'Amortization Table'!A10,Inputs!$B$5*12,-'Amortization Table'!$C$4)</f>
        <v>800.09797834421852</v>
      </c>
      <c r="F10" s="7">
        <f t="shared" si="0"/>
        <v>1175.5927096658481</v>
      </c>
      <c r="G10" s="6">
        <f t="shared" si="1"/>
        <v>247396.78243333969</v>
      </c>
      <c r="H10" s="5">
        <f>+H9+Table1[[#This Row],[PRINCIPAL]]</f>
        <v>2603.2175666603489</v>
      </c>
      <c r="I10" s="7">
        <f>Table1[[#This Row],[INTEREST]]+I9</f>
        <v>5625.9314010005874</v>
      </c>
      <c r="J10" s="11"/>
      <c r="K10" s="7">
        <f t="shared" si="3"/>
        <v>247167.41250905299</v>
      </c>
      <c r="L10" s="7">
        <f>+References!$B$1-Table1[[#This Row],[INTEREST ]]</f>
        <v>377.44794010536464</v>
      </c>
      <c r="M10" s="5">
        <f>+Inputs!$B$11</f>
        <v>100</v>
      </c>
      <c r="N10" s="7">
        <f>+Table1[[#This Row],[BEGINNING BALANCE ]]*Inputs!$B$4/12</f>
        <v>798.1447695604835</v>
      </c>
      <c r="O10" s="7">
        <f>+SUM(Table1[[#This Row],[PRINCIPAL ]:[INTEREST ]])</f>
        <v>1275.5927096658481</v>
      </c>
      <c r="P10" s="7">
        <f>+Table1[[#This Row],[BEGINNING BALANCE ]]-Table1[[#This Row],[PRINCIPAL ]]-Table1[[#This Row],[EXTRA PAYMENT]]</f>
        <v>246689.96456894762</v>
      </c>
      <c r="Q10" s="5">
        <f>+Table1[[#This Row],[PRINCIPAL ]]+Table1[[#This Row],[EXTRA PAYMENT]]+Q9</f>
        <v>3310.0354310523676</v>
      </c>
      <c r="R10" s="7">
        <f>+Table1[[#This Row],[INTEREST ]]+R9</f>
        <v>5619.1135366085691</v>
      </c>
    </row>
    <row r="11" spans="1:18" x14ac:dyDescent="0.25">
      <c r="A11">
        <f t="shared" si="2"/>
        <v>8</v>
      </c>
      <c r="B11" s="1">
        <f t="shared" si="4"/>
        <v>40848</v>
      </c>
      <c r="C11" s="6">
        <f t="shared" si="5"/>
        <v>247396.78243333969</v>
      </c>
      <c r="D11" s="7">
        <f>PPMT(Inputs!$B$4/12,A11,Inputs!$B$5*12,-'Amortization Table'!$C$4)</f>
        <v>376.7072663915223</v>
      </c>
      <c r="E11" s="7">
        <f>IPMT(Inputs!$B$4/12,'Amortization Table'!A11,Inputs!$B$5*12,-'Amortization Table'!$C$4)</f>
        <v>798.88544327432578</v>
      </c>
      <c r="F11" s="7">
        <f t="shared" si="0"/>
        <v>1175.5927096658481</v>
      </c>
      <c r="G11" s="6">
        <f t="shared" si="1"/>
        <v>247020.07516694817</v>
      </c>
      <c r="H11" s="5">
        <f>+H10+Table1[[#This Row],[PRINCIPAL]]</f>
        <v>2979.9248330518712</v>
      </c>
      <c r="I11" s="7">
        <f>Table1[[#This Row],[INTEREST]]+I10</f>
        <v>6424.8168442749129</v>
      </c>
      <c r="J11" s="11"/>
      <c r="K11" s="7">
        <f t="shared" si="3"/>
        <v>246689.96456894762</v>
      </c>
      <c r="L11" s="7">
        <f>+References!$B$1-Table1[[#This Row],[INTEREST ]]</f>
        <v>378.98969907862136</v>
      </c>
      <c r="M11" s="5">
        <f>+Inputs!$B$11</f>
        <v>100</v>
      </c>
      <c r="N11" s="7">
        <f>+Table1[[#This Row],[BEGINNING BALANCE ]]*Inputs!$B$4/12</f>
        <v>796.60301058722678</v>
      </c>
      <c r="O11" s="7">
        <f>+SUM(Table1[[#This Row],[PRINCIPAL ]:[INTEREST ]])</f>
        <v>1275.5927096658481</v>
      </c>
      <c r="P11" s="7">
        <f>+Table1[[#This Row],[BEGINNING BALANCE ]]-Table1[[#This Row],[PRINCIPAL ]]-Table1[[#This Row],[EXTRA PAYMENT]]</f>
        <v>246210.97486986901</v>
      </c>
      <c r="Q11" s="5">
        <f>+Table1[[#This Row],[PRINCIPAL ]]+Table1[[#This Row],[EXTRA PAYMENT]]+Q10</f>
        <v>3789.0251301309891</v>
      </c>
      <c r="R11" s="7">
        <f>+Table1[[#This Row],[INTEREST ]]+R10</f>
        <v>6415.716547195796</v>
      </c>
    </row>
    <row r="12" spans="1:18" x14ac:dyDescent="0.25">
      <c r="A12">
        <f t="shared" si="2"/>
        <v>9</v>
      </c>
      <c r="B12" s="1">
        <f t="shared" si="4"/>
        <v>40878</v>
      </c>
      <c r="C12" s="6">
        <f t="shared" si="5"/>
        <v>247020.07516694817</v>
      </c>
      <c r="D12" s="7">
        <f>PPMT(Inputs!$B$4/12,A12,Inputs!$B$5*12,-'Amortization Table'!$C$4)</f>
        <v>377.92371693924497</v>
      </c>
      <c r="E12" s="7">
        <f>IPMT(Inputs!$B$4/12,'Amortization Table'!A12,Inputs!$B$5*12,-'Amortization Table'!$C$4)</f>
        <v>797.66899272660305</v>
      </c>
      <c r="F12" s="7">
        <f t="shared" si="0"/>
        <v>1175.5927096658479</v>
      </c>
      <c r="G12" s="6">
        <f t="shared" si="1"/>
        <v>246642.15145000891</v>
      </c>
      <c r="H12" s="5">
        <f>+H11+Table1[[#This Row],[PRINCIPAL]]</f>
        <v>3357.8485499911162</v>
      </c>
      <c r="I12" s="7">
        <f>Table1[[#This Row],[INTEREST]]+I11</f>
        <v>7222.4858370015163</v>
      </c>
      <c r="J12" s="11"/>
      <c r="K12" s="7">
        <f t="shared" si="3"/>
        <v>246210.97486986901</v>
      </c>
      <c r="L12" s="7">
        <f>+References!$B$1-Table1[[#This Row],[INTEREST ]]</f>
        <v>380.5364366485627</v>
      </c>
      <c r="M12" s="5">
        <f>+Inputs!$B$11</f>
        <v>100</v>
      </c>
      <c r="N12" s="7">
        <f>+Table1[[#This Row],[BEGINNING BALANCE ]]*Inputs!$B$4/12</f>
        <v>795.05627301728543</v>
      </c>
      <c r="O12" s="7">
        <f>+SUM(Table1[[#This Row],[PRINCIPAL ]:[INTEREST ]])</f>
        <v>1275.5927096658481</v>
      </c>
      <c r="P12" s="7">
        <f>+Table1[[#This Row],[BEGINNING BALANCE ]]-Table1[[#This Row],[PRINCIPAL ]]-Table1[[#This Row],[EXTRA PAYMENT]]</f>
        <v>245730.43843322044</v>
      </c>
      <c r="Q12" s="5">
        <f>+Table1[[#This Row],[PRINCIPAL ]]+Table1[[#This Row],[EXTRA PAYMENT]]+Q11</f>
        <v>4269.5615667795519</v>
      </c>
      <c r="R12" s="7">
        <f>+Table1[[#This Row],[INTEREST ]]+R11</f>
        <v>7210.7728202130811</v>
      </c>
    </row>
    <row r="13" spans="1:18" x14ac:dyDescent="0.25">
      <c r="A13">
        <f t="shared" si="2"/>
        <v>10</v>
      </c>
      <c r="B13" s="1">
        <f t="shared" si="4"/>
        <v>40909</v>
      </c>
      <c r="C13" s="6">
        <f t="shared" si="5"/>
        <v>246642.15145000891</v>
      </c>
      <c r="D13" s="7">
        <f>PPMT(Inputs!$B$4/12,A13,Inputs!$B$5*12,-'Amortization Table'!$C$4)</f>
        <v>379.14409560852795</v>
      </c>
      <c r="E13" s="7">
        <f>IPMT(Inputs!$B$4/12,'Amortization Table'!A13,Inputs!$B$5*12,-'Amortization Table'!$C$4)</f>
        <v>796.44861405732024</v>
      </c>
      <c r="F13" s="7">
        <f t="shared" si="0"/>
        <v>1175.5927096658481</v>
      </c>
      <c r="G13" s="6">
        <f t="shared" si="1"/>
        <v>246263.00735440038</v>
      </c>
      <c r="H13" s="5">
        <f>+H12+Table1[[#This Row],[PRINCIPAL]]</f>
        <v>3736.9926455996442</v>
      </c>
      <c r="I13" s="7">
        <f>Table1[[#This Row],[INTEREST]]+I12</f>
        <v>8018.9344510588362</v>
      </c>
      <c r="J13" s="11"/>
      <c r="K13" s="7">
        <f t="shared" si="3"/>
        <v>245730.43843322044</v>
      </c>
      <c r="L13" s="7">
        <f>+References!$B$1-Table1[[#This Row],[INTEREST ]]</f>
        <v>382.08816889190723</v>
      </c>
      <c r="M13" s="5">
        <f>+Inputs!$B$11</f>
        <v>100</v>
      </c>
      <c r="N13" s="7">
        <f>+Table1[[#This Row],[BEGINNING BALANCE ]]*Inputs!$B$4/12</f>
        <v>793.5045407739409</v>
      </c>
      <c r="O13" s="7">
        <f>+SUM(Table1[[#This Row],[PRINCIPAL ]:[INTEREST ]])</f>
        <v>1275.5927096658481</v>
      </c>
      <c r="P13" s="7">
        <f>+Table1[[#This Row],[BEGINNING BALANCE ]]-Table1[[#This Row],[PRINCIPAL ]]-Table1[[#This Row],[EXTRA PAYMENT]]</f>
        <v>245248.35026432853</v>
      </c>
      <c r="Q13" s="5">
        <f>+Table1[[#This Row],[PRINCIPAL ]]+Table1[[#This Row],[EXTRA PAYMENT]]+Q12</f>
        <v>4751.649735671459</v>
      </c>
      <c r="R13" s="7">
        <f>+Table1[[#This Row],[INTEREST ]]+R12</f>
        <v>8004.2773609870219</v>
      </c>
    </row>
    <row r="14" spans="1:18" x14ac:dyDescent="0.25">
      <c r="A14">
        <f t="shared" si="2"/>
        <v>11</v>
      </c>
      <c r="B14" s="1">
        <f t="shared" si="4"/>
        <v>40940</v>
      </c>
      <c r="C14" s="6">
        <f t="shared" si="5"/>
        <v>246263.00735440038</v>
      </c>
      <c r="D14" s="7">
        <f>PPMT(Inputs!$B$4/12,A14,Inputs!$B$5*12,-'Amortization Table'!$C$4)</f>
        <v>380.36841508393053</v>
      </c>
      <c r="E14" s="7">
        <f>IPMT(Inputs!$B$4/12,'Amortization Table'!A14,Inputs!$B$5*12,-'Amortization Table'!$C$4)</f>
        <v>795.22429458191755</v>
      </c>
      <c r="F14" s="7">
        <f t="shared" si="0"/>
        <v>1175.5927096658481</v>
      </c>
      <c r="G14" s="6">
        <f t="shared" si="1"/>
        <v>245882.63893931644</v>
      </c>
      <c r="H14" s="5">
        <f>+H13+Table1[[#This Row],[PRINCIPAL]]</f>
        <v>4117.3610606835746</v>
      </c>
      <c r="I14" s="7">
        <f>Table1[[#This Row],[INTEREST]]+I13</f>
        <v>8814.1587456407542</v>
      </c>
      <c r="J14" s="11"/>
      <c r="K14" s="7">
        <f t="shared" si="3"/>
        <v>245248.35026432853</v>
      </c>
      <c r="L14" s="7">
        <f>+References!$B$1-Table1[[#This Row],[INTEREST ]]</f>
        <v>383.64491193728725</v>
      </c>
      <c r="M14" s="5">
        <f>+Inputs!$B$11</f>
        <v>100</v>
      </c>
      <c r="N14" s="7">
        <f>+Table1[[#This Row],[BEGINNING BALANCE ]]*Inputs!$B$4/12</f>
        <v>791.94779772856089</v>
      </c>
      <c r="O14" s="7">
        <f>+SUM(Table1[[#This Row],[PRINCIPAL ]:[INTEREST ]])</f>
        <v>1275.5927096658481</v>
      </c>
      <c r="P14" s="7">
        <f>+Table1[[#This Row],[BEGINNING BALANCE ]]-Table1[[#This Row],[PRINCIPAL ]]-Table1[[#This Row],[EXTRA PAYMENT]]</f>
        <v>244764.70535239123</v>
      </c>
      <c r="Q14" s="5">
        <f>+Table1[[#This Row],[PRINCIPAL ]]+Table1[[#This Row],[EXTRA PAYMENT]]+Q13</f>
        <v>5235.2946476087463</v>
      </c>
      <c r="R14" s="7">
        <f>+Table1[[#This Row],[INTEREST ]]+R13</f>
        <v>8796.2251587155824</v>
      </c>
    </row>
    <row r="15" spans="1:18" x14ac:dyDescent="0.25">
      <c r="A15">
        <f t="shared" si="2"/>
        <v>12</v>
      </c>
      <c r="B15" s="1">
        <f t="shared" si="4"/>
        <v>40969</v>
      </c>
      <c r="C15" s="6">
        <f t="shared" si="5"/>
        <v>245882.63893931644</v>
      </c>
      <c r="D15" s="7">
        <f>PPMT(Inputs!$B$4/12,A15,Inputs!$B$5*12,-'Amortization Table'!$C$4)</f>
        <v>381.59668809097235</v>
      </c>
      <c r="E15" s="7">
        <f>IPMT(Inputs!$B$4/12,'Amortization Table'!A15,Inputs!$B$5*12,-'Amortization Table'!$C$4)</f>
        <v>793.99602157487584</v>
      </c>
      <c r="F15" s="7">
        <f t="shared" si="0"/>
        <v>1175.5927096658481</v>
      </c>
      <c r="G15" s="6">
        <f t="shared" si="1"/>
        <v>245501.04225122547</v>
      </c>
      <c r="H15" s="5">
        <f>+H14+Table1[[#This Row],[PRINCIPAL]]</f>
        <v>4498.9577487745473</v>
      </c>
      <c r="I15" s="7">
        <f>Table1[[#This Row],[INTEREST]]+I14</f>
        <v>9608.1547672156303</v>
      </c>
      <c r="J15" s="11"/>
      <c r="K15" s="7">
        <f t="shared" si="3"/>
        <v>244764.70535239123</v>
      </c>
      <c r="L15" s="7">
        <f>+References!$B$1-Table1[[#This Row],[INTEREST ]]</f>
        <v>385.20668196541806</v>
      </c>
      <c r="M15" s="5">
        <f>+Inputs!$B$11</f>
        <v>100</v>
      </c>
      <c r="N15" s="7">
        <f>+Table1[[#This Row],[BEGINNING BALANCE ]]*Inputs!$B$4/12</f>
        <v>790.38602770043008</v>
      </c>
      <c r="O15" s="7">
        <f>+SUM(Table1[[#This Row],[PRINCIPAL ]:[INTEREST ]])</f>
        <v>1275.5927096658481</v>
      </c>
      <c r="P15" s="7">
        <f>+Table1[[#This Row],[BEGINNING BALANCE ]]-Table1[[#This Row],[PRINCIPAL ]]-Table1[[#This Row],[EXTRA PAYMENT]]</f>
        <v>244279.49867042582</v>
      </c>
      <c r="Q15" s="5">
        <f>+Table1[[#This Row],[PRINCIPAL ]]+Table1[[#This Row],[EXTRA PAYMENT]]+Q14</f>
        <v>5720.5013295741646</v>
      </c>
      <c r="R15" s="7">
        <f>+Table1[[#This Row],[INTEREST ]]+R14</f>
        <v>9586.6111864160121</v>
      </c>
    </row>
    <row r="16" spans="1:18" x14ac:dyDescent="0.25">
      <c r="A16">
        <f t="shared" si="2"/>
        <v>13</v>
      </c>
      <c r="B16" s="1">
        <f t="shared" si="4"/>
        <v>41000</v>
      </c>
      <c r="C16" s="6">
        <f t="shared" si="5"/>
        <v>245501.04225122547</v>
      </c>
      <c r="D16" s="7">
        <f>PPMT(Inputs!$B$4/12,A16,Inputs!$B$5*12,-'Amortization Table'!$C$4)</f>
        <v>382.82892739626612</v>
      </c>
      <c r="E16" s="7">
        <f>IPMT(Inputs!$B$4/12,'Amortization Table'!A16,Inputs!$B$5*12,-'Amortization Table'!$C$4)</f>
        <v>792.76378226958207</v>
      </c>
      <c r="F16" s="7">
        <f t="shared" si="0"/>
        <v>1175.5927096658481</v>
      </c>
      <c r="G16" s="6">
        <f t="shared" si="1"/>
        <v>245118.2133238292</v>
      </c>
      <c r="H16" s="5">
        <f>+H15+Table1[[#This Row],[PRINCIPAL]]</f>
        <v>4881.7866761708137</v>
      </c>
      <c r="I16" s="7">
        <f>Table1[[#This Row],[INTEREST]]+I15</f>
        <v>10400.918549485212</v>
      </c>
      <c r="J16" s="11"/>
      <c r="K16" s="7">
        <f t="shared" si="3"/>
        <v>244279.49867042582</v>
      </c>
      <c r="L16" s="7">
        <f>+References!$B$1-Table1[[#This Row],[INTEREST ]]</f>
        <v>386.77349520926475</v>
      </c>
      <c r="M16" s="5">
        <f>+Inputs!$B$11</f>
        <v>100</v>
      </c>
      <c r="N16" s="7">
        <f>+Table1[[#This Row],[BEGINNING BALANCE ]]*Inputs!$B$4/12</f>
        <v>788.81921445658338</v>
      </c>
      <c r="O16" s="7">
        <f>+SUM(Table1[[#This Row],[PRINCIPAL ]:[INTEREST ]])</f>
        <v>1275.5927096658481</v>
      </c>
      <c r="P16" s="7">
        <f>+Table1[[#This Row],[BEGINNING BALANCE ]]-Table1[[#This Row],[PRINCIPAL ]]-Table1[[#This Row],[EXTRA PAYMENT]]</f>
        <v>243792.72517521656</v>
      </c>
      <c r="Q16" s="5">
        <f>+Table1[[#This Row],[PRINCIPAL ]]+Table1[[#This Row],[EXTRA PAYMENT]]+Q15</f>
        <v>6207.2748247834297</v>
      </c>
      <c r="R16" s="7">
        <f>+Table1[[#This Row],[INTEREST ]]+R15</f>
        <v>10375.430400872596</v>
      </c>
    </row>
    <row r="17" spans="1:18" x14ac:dyDescent="0.25">
      <c r="A17">
        <f t="shared" si="2"/>
        <v>14</v>
      </c>
      <c r="B17" s="1">
        <f t="shared" si="4"/>
        <v>41030</v>
      </c>
      <c r="C17" s="6">
        <f t="shared" si="5"/>
        <v>245118.2133238292</v>
      </c>
      <c r="D17" s="7">
        <f>PPMT(Inputs!$B$4/12,A17,Inputs!$B$5*12,-'Amortization Table'!$C$4)</f>
        <v>384.06514580764991</v>
      </c>
      <c r="E17" s="7">
        <f>IPMT(Inputs!$B$4/12,'Amortization Table'!A17,Inputs!$B$5*12,-'Amortization Table'!$C$4)</f>
        <v>791.52756385819816</v>
      </c>
      <c r="F17" s="7">
        <f t="shared" si="0"/>
        <v>1175.5927096658481</v>
      </c>
      <c r="G17" s="6">
        <f t="shared" si="1"/>
        <v>244734.14817802154</v>
      </c>
      <c r="H17" s="5">
        <f>+H16+Table1[[#This Row],[PRINCIPAL]]</f>
        <v>5265.8518219784637</v>
      </c>
      <c r="I17" s="7">
        <f>Table1[[#This Row],[INTEREST]]+I16</f>
        <v>11192.446113343411</v>
      </c>
      <c r="J17" s="11"/>
      <c r="K17" s="7">
        <f t="shared" si="3"/>
        <v>243792.72517521656</v>
      </c>
      <c r="L17" s="7">
        <f>+References!$B$1-Table1[[#This Row],[INTEREST ]]</f>
        <v>388.34536795421138</v>
      </c>
      <c r="M17" s="5">
        <f>+Inputs!$B$11</f>
        <v>100</v>
      </c>
      <c r="N17" s="7">
        <f>+Table1[[#This Row],[BEGINNING BALANCE ]]*Inputs!$B$4/12</f>
        <v>787.24734171163675</v>
      </c>
      <c r="O17" s="7">
        <f>+SUM(Table1[[#This Row],[PRINCIPAL ]:[INTEREST ]])</f>
        <v>1275.5927096658481</v>
      </c>
      <c r="P17" s="7">
        <f>+Table1[[#This Row],[BEGINNING BALANCE ]]-Table1[[#This Row],[PRINCIPAL ]]-Table1[[#This Row],[EXTRA PAYMENT]]</f>
        <v>243304.37980726236</v>
      </c>
      <c r="Q17" s="5">
        <f>+Table1[[#This Row],[PRINCIPAL ]]+Table1[[#This Row],[EXTRA PAYMENT]]+Q16</f>
        <v>6695.6201927376414</v>
      </c>
      <c r="R17" s="7">
        <f>+Table1[[#This Row],[INTEREST ]]+R16</f>
        <v>11162.677742584232</v>
      </c>
    </row>
    <row r="18" spans="1:18" x14ac:dyDescent="0.25">
      <c r="A18">
        <f t="shared" si="2"/>
        <v>15</v>
      </c>
      <c r="B18" s="1">
        <f t="shared" si="4"/>
        <v>41061</v>
      </c>
      <c r="C18" s="6">
        <f t="shared" si="5"/>
        <v>244734.14817802154</v>
      </c>
      <c r="D18" s="7">
        <f>PPMT(Inputs!$B$4/12,A18,Inputs!$B$5*12,-'Amortization Table'!$C$4)</f>
        <v>385.30535617432042</v>
      </c>
      <c r="E18" s="7">
        <f>IPMT(Inputs!$B$4/12,'Amortization Table'!A18,Inputs!$B$5*12,-'Amortization Table'!$C$4)</f>
        <v>790.28735349152782</v>
      </c>
      <c r="F18" s="7">
        <f t="shared" si="0"/>
        <v>1175.5927096658484</v>
      </c>
      <c r="G18" s="6">
        <f t="shared" si="1"/>
        <v>244348.84282184721</v>
      </c>
      <c r="H18" s="5">
        <f>+H17+Table1[[#This Row],[PRINCIPAL]]</f>
        <v>5651.1571781527837</v>
      </c>
      <c r="I18" s="7">
        <f>Table1[[#This Row],[INTEREST]]+I17</f>
        <v>11982.733466834938</v>
      </c>
      <c r="J18" s="11"/>
      <c r="K18" s="7">
        <f t="shared" si="3"/>
        <v>243304.37980726236</v>
      </c>
      <c r="L18" s="7">
        <f>+References!$B$1-Table1[[#This Row],[INTEREST ]]</f>
        <v>389.92231653823012</v>
      </c>
      <c r="M18" s="5">
        <f>+Inputs!$B$11</f>
        <v>100</v>
      </c>
      <c r="N18" s="7">
        <f>+Table1[[#This Row],[BEGINNING BALANCE ]]*Inputs!$B$4/12</f>
        <v>785.67039312761801</v>
      </c>
      <c r="O18" s="7">
        <f>+SUM(Table1[[#This Row],[PRINCIPAL ]:[INTEREST ]])</f>
        <v>1275.5927096658481</v>
      </c>
      <c r="P18" s="7">
        <f>+Table1[[#This Row],[BEGINNING BALANCE ]]-Table1[[#This Row],[PRINCIPAL ]]-Table1[[#This Row],[EXTRA PAYMENT]]</f>
        <v>242814.45749072413</v>
      </c>
      <c r="Q18" s="5">
        <f>+Table1[[#This Row],[PRINCIPAL ]]+Table1[[#This Row],[EXTRA PAYMENT]]+Q17</f>
        <v>7185.5425092758715</v>
      </c>
      <c r="R18" s="7">
        <f>+Table1[[#This Row],[INTEREST ]]+R17</f>
        <v>11948.348135711851</v>
      </c>
    </row>
    <row r="19" spans="1:18" x14ac:dyDescent="0.25">
      <c r="A19">
        <f t="shared" si="2"/>
        <v>16</v>
      </c>
      <c r="B19" s="1">
        <f t="shared" si="4"/>
        <v>41091</v>
      </c>
      <c r="C19" s="6">
        <f t="shared" si="5"/>
        <v>244348.84282184721</v>
      </c>
      <c r="D19" s="7">
        <f>PPMT(Inputs!$B$4/12,A19,Inputs!$B$5*12,-'Amortization Table'!$C$4)</f>
        <v>386.54957138696665</v>
      </c>
      <c r="E19" s="7">
        <f>IPMT(Inputs!$B$4/12,'Amortization Table'!A19,Inputs!$B$5*12,-'Amortization Table'!$C$4)</f>
        <v>789.04313827888143</v>
      </c>
      <c r="F19" s="7">
        <f t="shared" si="0"/>
        <v>1175.5927096658481</v>
      </c>
      <c r="G19" s="6">
        <f t="shared" si="1"/>
        <v>243962.29325046024</v>
      </c>
      <c r="H19" s="5">
        <f>+H18+Table1[[#This Row],[PRINCIPAL]]</f>
        <v>6037.7067495397505</v>
      </c>
      <c r="I19" s="7">
        <f>Table1[[#This Row],[INTEREST]]+I18</f>
        <v>12771.776605113819</v>
      </c>
      <c r="J19" s="11"/>
      <c r="K19" s="7">
        <f t="shared" si="3"/>
        <v>242814.45749072413</v>
      </c>
      <c r="L19" s="7">
        <f>+References!$B$1-Table1[[#This Row],[INTEREST ]]</f>
        <v>391.50435735205144</v>
      </c>
      <c r="M19" s="5">
        <f>+Inputs!$B$11</f>
        <v>100</v>
      </c>
      <c r="N19" s="7">
        <f>+Table1[[#This Row],[BEGINNING BALANCE ]]*Inputs!$B$4/12</f>
        <v>784.08835231379669</v>
      </c>
      <c r="O19" s="7">
        <f>+SUM(Table1[[#This Row],[PRINCIPAL ]:[INTEREST ]])</f>
        <v>1275.5927096658481</v>
      </c>
      <c r="P19" s="7">
        <f>+Table1[[#This Row],[BEGINNING BALANCE ]]-Table1[[#This Row],[PRINCIPAL ]]-Table1[[#This Row],[EXTRA PAYMENT]]</f>
        <v>242322.9531333721</v>
      </c>
      <c r="Q19" s="5">
        <f>+Table1[[#This Row],[PRINCIPAL ]]+Table1[[#This Row],[EXTRA PAYMENT]]+Q18</f>
        <v>7677.046866627923</v>
      </c>
      <c r="R19" s="7">
        <f>+Table1[[#This Row],[INTEREST ]]+R18</f>
        <v>12732.436488025647</v>
      </c>
    </row>
    <row r="20" spans="1:18" x14ac:dyDescent="0.25">
      <c r="A20">
        <f t="shared" si="2"/>
        <v>17</v>
      </c>
      <c r="B20" s="1">
        <f t="shared" si="4"/>
        <v>41122</v>
      </c>
      <c r="C20" s="6">
        <f t="shared" si="5"/>
        <v>243962.29325046024</v>
      </c>
      <c r="D20" s="7">
        <f>PPMT(Inputs!$B$4/12,A20,Inputs!$B$5*12,-'Amortization Table'!$C$4)</f>
        <v>387.79780437790379</v>
      </c>
      <c r="E20" s="7">
        <f>IPMT(Inputs!$B$4/12,'Amortization Table'!A20,Inputs!$B$5*12,-'Amortization Table'!$C$4)</f>
        <v>787.7949052879444</v>
      </c>
      <c r="F20" s="7">
        <f t="shared" si="0"/>
        <v>1175.5927096658481</v>
      </c>
      <c r="G20" s="6">
        <f t="shared" si="1"/>
        <v>243574.49544608232</v>
      </c>
      <c r="H20" s="5">
        <f>+H19+Table1[[#This Row],[PRINCIPAL]]</f>
        <v>6425.5045539176544</v>
      </c>
      <c r="I20" s="7">
        <f>Table1[[#This Row],[INTEREST]]+I19</f>
        <v>13559.571510401764</v>
      </c>
      <c r="J20" s="11"/>
      <c r="K20" s="7">
        <f t="shared" si="3"/>
        <v>242322.9531333721</v>
      </c>
      <c r="L20" s="7">
        <f>+References!$B$1-Table1[[#This Row],[INTEREST ]]</f>
        <v>393.0915068393341</v>
      </c>
      <c r="M20" s="5">
        <f>+Inputs!$B$11</f>
        <v>100</v>
      </c>
      <c r="N20" s="7">
        <f>+Table1[[#This Row],[BEGINNING BALANCE ]]*Inputs!$B$4/12</f>
        <v>782.50120282651403</v>
      </c>
      <c r="O20" s="7">
        <f>+SUM(Table1[[#This Row],[PRINCIPAL ]:[INTEREST ]])</f>
        <v>1275.5927096658481</v>
      </c>
      <c r="P20" s="7">
        <f>+Table1[[#This Row],[BEGINNING BALANCE ]]-Table1[[#This Row],[PRINCIPAL ]]-Table1[[#This Row],[EXTRA PAYMENT]]</f>
        <v>241829.86162653277</v>
      </c>
      <c r="Q20" s="5">
        <f>+Table1[[#This Row],[PRINCIPAL ]]+Table1[[#This Row],[EXTRA PAYMENT]]+Q19</f>
        <v>8170.1383734672572</v>
      </c>
      <c r="R20" s="7">
        <f>+Table1[[#This Row],[INTEREST ]]+R19</f>
        <v>13514.937690852161</v>
      </c>
    </row>
    <row r="21" spans="1:18" x14ac:dyDescent="0.25">
      <c r="A21">
        <f t="shared" si="2"/>
        <v>18</v>
      </c>
      <c r="B21" s="1">
        <f t="shared" ref="B21" si="6">+EOMONTH(B20,0)+1</f>
        <v>41153</v>
      </c>
      <c r="C21" s="6">
        <f t="shared" ref="C21" si="7">+G20</f>
        <v>243574.49544608232</v>
      </c>
      <c r="D21" s="7">
        <f>PPMT(Inputs!$B$4/12,A21,Inputs!$B$5*12,-'Amortization Table'!$C$4)</f>
        <v>389.0500681212074</v>
      </c>
      <c r="E21" s="7">
        <f>IPMT(Inputs!$B$4/12,'Amortization Table'!A21,Inputs!$B$5*12,-'Amortization Table'!$C$4)</f>
        <v>786.54264154464067</v>
      </c>
      <c r="F21" s="7">
        <f t="shared" si="0"/>
        <v>1175.5927096658481</v>
      </c>
      <c r="G21" s="6">
        <f t="shared" si="1"/>
        <v>243185.44537796112</v>
      </c>
      <c r="H21" s="5">
        <f>+H20+Table1[[#This Row],[PRINCIPAL]]</f>
        <v>6814.5546220388615</v>
      </c>
      <c r="I21" s="7">
        <f>Table1[[#This Row],[INTEREST]]+I20</f>
        <v>14346.114151946404</v>
      </c>
      <c r="J21" s="11"/>
      <c r="K21" s="7">
        <f t="shared" si="3"/>
        <v>241829.86162653277</v>
      </c>
      <c r="L21" s="7">
        <f>+References!$B$1-Table1[[#This Row],[INTEREST ]]</f>
        <v>394.68378149683599</v>
      </c>
      <c r="M21" s="5">
        <f>+Inputs!$B$11</f>
        <v>100</v>
      </c>
      <c r="N21" s="7">
        <f>+Table1[[#This Row],[BEGINNING BALANCE ]]*Inputs!$B$4/12</f>
        <v>780.90892816901214</v>
      </c>
      <c r="O21" s="7">
        <f>+SUM(Table1[[#This Row],[PRINCIPAL ]:[INTEREST ]])</f>
        <v>1275.5927096658481</v>
      </c>
      <c r="P21" s="7">
        <f>+Table1[[#This Row],[BEGINNING BALANCE ]]-Table1[[#This Row],[PRINCIPAL ]]-Table1[[#This Row],[EXTRA PAYMENT]]</f>
        <v>241335.17784503594</v>
      </c>
      <c r="Q21" s="5">
        <f>+Table1[[#This Row],[PRINCIPAL ]]+Table1[[#This Row],[EXTRA PAYMENT]]+Q20</f>
        <v>8664.822154964093</v>
      </c>
      <c r="R21" s="7">
        <f>+Table1[[#This Row],[INTEREST ]]+R20</f>
        <v>14295.846619021173</v>
      </c>
    </row>
    <row r="22" spans="1:18" x14ac:dyDescent="0.25">
      <c r="A22">
        <f t="shared" si="2"/>
        <v>19</v>
      </c>
      <c r="B22" s="1">
        <f t="shared" ref="B22:B37" si="8">+EOMONTH(B21,0)+1</f>
        <v>41183</v>
      </c>
      <c r="C22" s="6">
        <f t="shared" ref="C22:C37" si="9">+G21</f>
        <v>243185.44537796112</v>
      </c>
      <c r="D22" s="7">
        <f>PPMT(Inputs!$B$4/12,A22,Inputs!$B$5*12,-'Amortization Table'!$C$4)</f>
        <v>390.30637563284881</v>
      </c>
      <c r="E22" s="7">
        <f>IPMT(Inputs!$B$4/12,'Amortization Table'!A22,Inputs!$B$5*12,-'Amortization Table'!$C$4)</f>
        <v>785.28633403299921</v>
      </c>
      <c r="F22" s="7">
        <f t="shared" si="0"/>
        <v>1175.5927096658479</v>
      </c>
      <c r="G22" s="6">
        <f t="shared" si="1"/>
        <v>242795.13900232827</v>
      </c>
      <c r="H22" s="5">
        <f>+H21+Table1[[#This Row],[PRINCIPAL]]</f>
        <v>7204.8609976717107</v>
      </c>
      <c r="I22" s="7">
        <f>Table1[[#This Row],[INTEREST]]+I21</f>
        <v>15131.400485979402</v>
      </c>
      <c r="J22" s="11"/>
      <c r="K22" s="7">
        <f t="shared" si="3"/>
        <v>241335.17784503594</v>
      </c>
      <c r="L22" s="7">
        <f>+References!$B$1-Table1[[#This Row],[INTEREST ]]</f>
        <v>396.28119787458616</v>
      </c>
      <c r="M22" s="5">
        <f>+Inputs!$B$11</f>
        <v>100</v>
      </c>
      <c r="N22" s="7">
        <f>+Table1[[#This Row],[BEGINNING BALANCE ]]*Inputs!$B$4/12</f>
        <v>779.31151179126198</v>
      </c>
      <c r="O22" s="7">
        <f>+SUM(Table1[[#This Row],[PRINCIPAL ]:[INTEREST ]])</f>
        <v>1275.5927096658481</v>
      </c>
      <c r="P22" s="7">
        <f>+Table1[[#This Row],[BEGINNING BALANCE ]]-Table1[[#This Row],[PRINCIPAL ]]-Table1[[#This Row],[EXTRA PAYMENT]]</f>
        <v>240838.89664716137</v>
      </c>
      <c r="Q22" s="5">
        <f>+Table1[[#This Row],[PRINCIPAL ]]+Table1[[#This Row],[EXTRA PAYMENT]]+Q21</f>
        <v>9161.1033528386797</v>
      </c>
      <c r="R22" s="7">
        <f>+Table1[[#This Row],[INTEREST ]]+R21</f>
        <v>15075.158130812435</v>
      </c>
    </row>
    <row r="23" spans="1:18" x14ac:dyDescent="0.25">
      <c r="A23">
        <f t="shared" si="2"/>
        <v>20</v>
      </c>
      <c r="B23" s="1">
        <f t="shared" si="8"/>
        <v>41214</v>
      </c>
      <c r="C23" s="6">
        <f t="shared" si="9"/>
        <v>242795.13900232827</v>
      </c>
      <c r="D23" s="7">
        <f>PPMT(Inputs!$B$4/12,A23,Inputs!$B$5*12,-'Amortization Table'!$C$4)</f>
        <v>391.56673997082987</v>
      </c>
      <c r="E23" s="7">
        <f>IPMT(Inputs!$B$4/12,'Amortization Table'!A23,Inputs!$B$5*12,-'Amortization Table'!$C$4)</f>
        <v>784.02596969501838</v>
      </c>
      <c r="F23" s="7">
        <f t="shared" si="0"/>
        <v>1175.5927096658484</v>
      </c>
      <c r="G23" s="6">
        <f t="shared" si="1"/>
        <v>242403.57226235745</v>
      </c>
      <c r="H23" s="5">
        <f>+H22+Table1[[#This Row],[PRINCIPAL]]</f>
        <v>7596.4277376425407</v>
      </c>
      <c r="I23" s="7">
        <f>Table1[[#This Row],[INTEREST]]+I22</f>
        <v>15915.42645567442</v>
      </c>
      <c r="J23" s="11"/>
      <c r="K23" s="7">
        <f t="shared" si="3"/>
        <v>240838.89664716137</v>
      </c>
      <c r="L23" s="7">
        <f>+References!$B$1-Table1[[#This Row],[INTEREST ]]</f>
        <v>397.88377257605623</v>
      </c>
      <c r="M23" s="5">
        <f>+Inputs!$B$11</f>
        <v>100</v>
      </c>
      <c r="N23" s="7">
        <f>+Table1[[#This Row],[BEGINNING BALANCE ]]*Inputs!$B$4/12</f>
        <v>777.7089370897919</v>
      </c>
      <c r="O23" s="7">
        <f>+SUM(Table1[[#This Row],[PRINCIPAL ]:[INTEREST ]])</f>
        <v>1275.5927096658481</v>
      </c>
      <c r="P23" s="7">
        <f>+Table1[[#This Row],[BEGINNING BALANCE ]]-Table1[[#This Row],[PRINCIPAL ]]-Table1[[#This Row],[EXTRA PAYMENT]]</f>
        <v>240341.01287458531</v>
      </c>
      <c r="Q23" s="5">
        <f>+Table1[[#This Row],[PRINCIPAL ]]+Table1[[#This Row],[EXTRA PAYMENT]]+Q22</f>
        <v>9658.9871254147365</v>
      </c>
      <c r="R23" s="7">
        <f>+Table1[[#This Row],[INTEREST ]]+R22</f>
        <v>15852.867067902227</v>
      </c>
    </row>
    <row r="24" spans="1:18" x14ac:dyDescent="0.25">
      <c r="A24">
        <f t="shared" ref="A24:A37" si="10">+A23+1</f>
        <v>21</v>
      </c>
      <c r="B24" s="1">
        <f t="shared" si="8"/>
        <v>41244</v>
      </c>
      <c r="C24" s="6">
        <f t="shared" si="9"/>
        <v>242403.57226235745</v>
      </c>
      <c r="D24" s="7">
        <f>PPMT(Inputs!$B$4/12,A24,Inputs!$B$5*12,-'Amortization Table'!$C$4)</f>
        <v>392.831174235319</v>
      </c>
      <c r="E24" s="7">
        <f>IPMT(Inputs!$B$4/12,'Amortization Table'!A24,Inputs!$B$5*12,-'Amortization Table'!$C$4)</f>
        <v>782.76153543052908</v>
      </c>
      <c r="F24" s="7">
        <f t="shared" si="0"/>
        <v>1175.5927096658481</v>
      </c>
      <c r="G24" s="6">
        <f t="shared" si="1"/>
        <v>242010.74108812213</v>
      </c>
      <c r="H24" s="5">
        <f>+H23+Table1[[#This Row],[PRINCIPAL]]</f>
        <v>7989.2589118778596</v>
      </c>
      <c r="I24" s="7">
        <f>Table1[[#This Row],[INTEREST]]+I23</f>
        <v>16698.187991104951</v>
      </c>
      <c r="J24" s="11"/>
      <c r="K24" s="7">
        <f t="shared" si="3"/>
        <v>240341.01287458531</v>
      </c>
      <c r="L24" s="7">
        <f>+References!$B$1-Table1[[#This Row],[INTEREST ]]</f>
        <v>399.49152225833302</v>
      </c>
      <c r="M24" s="5">
        <f>+Inputs!$B$11</f>
        <v>100</v>
      </c>
      <c r="N24" s="7">
        <f>+Table1[[#This Row],[BEGINNING BALANCE ]]*Inputs!$B$4/12</f>
        <v>776.10118740751511</v>
      </c>
      <c r="O24" s="7">
        <f>+SUM(Table1[[#This Row],[PRINCIPAL ]:[INTEREST ]])</f>
        <v>1275.5927096658481</v>
      </c>
      <c r="P24" s="7">
        <f>+Table1[[#This Row],[BEGINNING BALANCE ]]-Table1[[#This Row],[PRINCIPAL ]]-Table1[[#This Row],[EXTRA PAYMENT]]</f>
        <v>239841.52135232699</v>
      </c>
      <c r="Q24" s="5">
        <f>+Table1[[#This Row],[PRINCIPAL ]]+Table1[[#This Row],[EXTRA PAYMENT]]+Q23</f>
        <v>10158.47864767307</v>
      </c>
      <c r="R24" s="7">
        <f>+Table1[[#This Row],[INTEREST ]]+R23</f>
        <v>16628.968255309741</v>
      </c>
    </row>
    <row r="25" spans="1:18" x14ac:dyDescent="0.25">
      <c r="A25">
        <f t="shared" si="10"/>
        <v>22</v>
      </c>
      <c r="B25" s="1">
        <f t="shared" si="8"/>
        <v>41275</v>
      </c>
      <c r="C25" s="6">
        <f t="shared" si="9"/>
        <v>242010.74108812213</v>
      </c>
      <c r="D25" s="7">
        <f>PPMT(Inputs!$B$4/12,A25,Inputs!$B$5*12,-'Amortization Table'!$C$4)</f>
        <v>394.09969156878719</v>
      </c>
      <c r="E25" s="7">
        <f>IPMT(Inputs!$B$4/12,'Amortization Table'!A25,Inputs!$B$5*12,-'Amortization Table'!$C$4)</f>
        <v>781.49301809706094</v>
      </c>
      <c r="F25" s="7">
        <f t="shared" si="0"/>
        <v>1175.5927096658481</v>
      </c>
      <c r="G25" s="6">
        <f t="shared" si="1"/>
        <v>241616.64139655334</v>
      </c>
      <c r="H25" s="5">
        <f>+H24+Table1[[#This Row],[PRINCIPAL]]</f>
        <v>8383.3586034466462</v>
      </c>
      <c r="I25" s="7">
        <f>Table1[[#This Row],[INTEREST]]+I24</f>
        <v>17479.681009202013</v>
      </c>
      <c r="J25" s="11"/>
      <c r="K25" s="7">
        <f t="shared" si="3"/>
        <v>239841.52135232699</v>
      </c>
      <c r="L25" s="7">
        <f>+References!$B$1-Table1[[#This Row],[INTEREST ]]</f>
        <v>401.10446363229232</v>
      </c>
      <c r="M25" s="5">
        <f>+Inputs!$B$11</f>
        <v>100</v>
      </c>
      <c r="N25" s="7">
        <f>+Table1[[#This Row],[BEGINNING BALANCE ]]*Inputs!$B$4/12</f>
        <v>774.48824603355581</v>
      </c>
      <c r="O25" s="7">
        <f>+SUM(Table1[[#This Row],[PRINCIPAL ]:[INTEREST ]])</f>
        <v>1275.5927096658481</v>
      </c>
      <c r="P25" s="7">
        <f>+Table1[[#This Row],[BEGINNING BALANCE ]]-Table1[[#This Row],[PRINCIPAL ]]-Table1[[#This Row],[EXTRA PAYMENT]]</f>
        <v>239340.41688869469</v>
      </c>
      <c r="Q25" s="5">
        <f>+Table1[[#This Row],[PRINCIPAL ]]+Table1[[#This Row],[EXTRA PAYMENT]]+Q24</f>
        <v>10659.583111305363</v>
      </c>
      <c r="R25" s="7">
        <f>+Table1[[#This Row],[INTEREST ]]+R24</f>
        <v>17403.456501343298</v>
      </c>
    </row>
    <row r="26" spans="1:18" x14ac:dyDescent="0.25">
      <c r="A26">
        <f t="shared" si="10"/>
        <v>23</v>
      </c>
      <c r="B26" s="1">
        <f t="shared" si="8"/>
        <v>41306</v>
      </c>
      <c r="C26" s="6">
        <f t="shared" si="9"/>
        <v>241616.64139655334</v>
      </c>
      <c r="D26" s="7">
        <f>PPMT(Inputs!$B$4/12,A26,Inputs!$B$5*12,-'Amortization Table'!$C$4)</f>
        <v>395.37230515614476</v>
      </c>
      <c r="E26" s="7">
        <f>IPMT(Inputs!$B$4/12,'Amortization Table'!A26,Inputs!$B$5*12,-'Amortization Table'!$C$4)</f>
        <v>780.22040450970349</v>
      </c>
      <c r="F26" s="7">
        <f t="shared" si="0"/>
        <v>1175.5927096658484</v>
      </c>
      <c r="G26" s="6">
        <f t="shared" si="1"/>
        <v>241221.2690913972</v>
      </c>
      <c r="H26" s="5">
        <f>+H25+Table1[[#This Row],[PRINCIPAL]]</f>
        <v>8778.7309086027908</v>
      </c>
      <c r="I26" s="7">
        <f>Table1[[#This Row],[INTEREST]]+I25</f>
        <v>18259.901413711716</v>
      </c>
      <c r="J26" s="11"/>
      <c r="K26" s="7">
        <f t="shared" si="3"/>
        <v>239340.41688869469</v>
      </c>
      <c r="L26" s="7">
        <f>+References!$B$1-Table1[[#This Row],[INTEREST ]]</f>
        <v>402.72261346277151</v>
      </c>
      <c r="M26" s="5">
        <f>+Inputs!$B$11</f>
        <v>100</v>
      </c>
      <c r="N26" s="7">
        <f>+Table1[[#This Row],[BEGINNING BALANCE ]]*Inputs!$B$4/12</f>
        <v>772.87009620307663</v>
      </c>
      <c r="O26" s="7">
        <f>+SUM(Table1[[#This Row],[PRINCIPAL ]:[INTEREST ]])</f>
        <v>1275.5927096658481</v>
      </c>
      <c r="P26" s="7">
        <f>+Table1[[#This Row],[BEGINNING BALANCE ]]-Table1[[#This Row],[PRINCIPAL ]]-Table1[[#This Row],[EXTRA PAYMENT]]</f>
        <v>238837.69427523192</v>
      </c>
      <c r="Q26" s="5">
        <f>+Table1[[#This Row],[PRINCIPAL ]]+Table1[[#This Row],[EXTRA PAYMENT]]+Q25</f>
        <v>11162.305724768134</v>
      </c>
      <c r="R26" s="7">
        <f>+Table1[[#This Row],[INTEREST ]]+R25</f>
        <v>18176.326597546376</v>
      </c>
    </row>
    <row r="27" spans="1:18" x14ac:dyDescent="0.25">
      <c r="A27">
        <f t="shared" si="10"/>
        <v>24</v>
      </c>
      <c r="B27" s="1">
        <f t="shared" si="8"/>
        <v>41334</v>
      </c>
      <c r="C27" s="6">
        <f t="shared" si="9"/>
        <v>241221.2690913972</v>
      </c>
      <c r="D27" s="7">
        <f>PPMT(Inputs!$B$4/12,A27,Inputs!$B$5*12,-'Amortization Table'!$C$4)</f>
        <v>396.64902822487812</v>
      </c>
      <c r="E27" s="7">
        <f>IPMT(Inputs!$B$4/12,'Amortization Table'!A27,Inputs!$B$5*12,-'Amortization Table'!$C$4)</f>
        <v>778.94368144096995</v>
      </c>
      <c r="F27" s="7">
        <f t="shared" si="0"/>
        <v>1175.5927096658481</v>
      </c>
      <c r="G27" s="6">
        <f t="shared" si="1"/>
        <v>240824.62006317233</v>
      </c>
      <c r="H27" s="5">
        <f>+H26+Table1[[#This Row],[PRINCIPAL]]</f>
        <v>9175.3799368276686</v>
      </c>
      <c r="I27" s="7">
        <f>Table1[[#This Row],[INTEREST]]+I26</f>
        <v>19038.845095152687</v>
      </c>
      <c r="J27" s="11"/>
      <c r="K27" s="7">
        <f t="shared" si="3"/>
        <v>238837.69427523192</v>
      </c>
      <c r="L27" s="7">
        <f>+References!$B$1-Table1[[#This Row],[INTEREST ]]</f>
        <v>404.34598856874504</v>
      </c>
      <c r="M27" s="5">
        <f>+Inputs!$B$11</f>
        <v>100</v>
      </c>
      <c r="N27" s="7">
        <f>+Table1[[#This Row],[BEGINNING BALANCE ]]*Inputs!$B$4/12</f>
        <v>771.24672109710309</v>
      </c>
      <c r="O27" s="7">
        <f>+SUM(Table1[[#This Row],[PRINCIPAL ]:[INTEREST ]])</f>
        <v>1275.5927096658481</v>
      </c>
      <c r="P27" s="7">
        <f>+Table1[[#This Row],[BEGINNING BALANCE ]]-Table1[[#This Row],[PRINCIPAL ]]-Table1[[#This Row],[EXTRA PAYMENT]]</f>
        <v>238333.34828666318</v>
      </c>
      <c r="Q27" s="5">
        <f>+Table1[[#This Row],[PRINCIPAL ]]+Table1[[#This Row],[EXTRA PAYMENT]]+Q26</f>
        <v>11666.651713336878</v>
      </c>
      <c r="R27" s="7">
        <f>+Table1[[#This Row],[INTEREST ]]+R26</f>
        <v>18947.573318643481</v>
      </c>
    </row>
    <row r="28" spans="1:18" x14ac:dyDescent="0.25">
      <c r="A28">
        <f t="shared" si="10"/>
        <v>25</v>
      </c>
      <c r="B28" s="1">
        <f t="shared" si="8"/>
        <v>41365</v>
      </c>
      <c r="C28" s="6">
        <f t="shared" si="9"/>
        <v>240824.62006317233</v>
      </c>
      <c r="D28" s="7">
        <f>PPMT(Inputs!$B$4/12,A28,Inputs!$B$5*12,-'Amortization Table'!$C$4)</f>
        <v>397.92987404518766</v>
      </c>
      <c r="E28" s="7">
        <f>IPMT(Inputs!$B$4/12,'Amortization Table'!A28,Inputs!$B$5*12,-'Amortization Table'!$C$4)</f>
        <v>777.66283562066042</v>
      </c>
      <c r="F28" s="7">
        <f t="shared" si="0"/>
        <v>1175.5927096658481</v>
      </c>
      <c r="G28" s="6">
        <f t="shared" si="1"/>
        <v>240426.69018912714</v>
      </c>
      <c r="H28" s="5">
        <f>+H27+Table1[[#This Row],[PRINCIPAL]]</f>
        <v>9573.3098108728555</v>
      </c>
      <c r="I28" s="7">
        <f>Table1[[#This Row],[INTEREST]]+I27</f>
        <v>19816.507930773347</v>
      </c>
      <c r="J28" s="11"/>
      <c r="K28" s="7">
        <f t="shared" si="3"/>
        <v>238333.34828666318</v>
      </c>
      <c r="L28" s="7">
        <f>+References!$B$1-Table1[[#This Row],[INTEREST ]]</f>
        <v>405.97460582349834</v>
      </c>
      <c r="M28" s="5">
        <f>+Inputs!$B$11</f>
        <v>100</v>
      </c>
      <c r="N28" s="7">
        <f>+Table1[[#This Row],[BEGINNING BALANCE ]]*Inputs!$B$4/12</f>
        <v>769.6181038423498</v>
      </c>
      <c r="O28" s="7">
        <f>+SUM(Table1[[#This Row],[PRINCIPAL ]:[INTEREST ]])</f>
        <v>1275.5927096658481</v>
      </c>
      <c r="P28" s="7">
        <f>+Table1[[#This Row],[BEGINNING BALANCE ]]-Table1[[#This Row],[PRINCIPAL ]]-Table1[[#This Row],[EXTRA PAYMENT]]</f>
        <v>237827.37368083969</v>
      </c>
      <c r="Q28" s="5">
        <f>+Table1[[#This Row],[PRINCIPAL ]]+Table1[[#This Row],[EXTRA PAYMENT]]+Q27</f>
        <v>12172.626319160376</v>
      </c>
      <c r="R28" s="7">
        <f>+Table1[[#This Row],[INTEREST ]]+R27</f>
        <v>19717.19142248583</v>
      </c>
    </row>
    <row r="29" spans="1:18" x14ac:dyDescent="0.25">
      <c r="A29">
        <f t="shared" si="10"/>
        <v>26</v>
      </c>
      <c r="B29" s="1">
        <f t="shared" si="8"/>
        <v>41395</v>
      </c>
      <c r="C29" s="6">
        <f t="shared" si="9"/>
        <v>240426.69018912714</v>
      </c>
      <c r="D29" s="7">
        <f>PPMT(Inputs!$B$4/12,A29,Inputs!$B$5*12,-'Amortization Table'!$C$4)</f>
        <v>399.21485593012528</v>
      </c>
      <c r="E29" s="7">
        <f>IPMT(Inputs!$B$4/12,'Amortization Table'!A29,Inputs!$B$5*12,-'Amortization Table'!$C$4)</f>
        <v>776.37785373572285</v>
      </c>
      <c r="F29" s="7">
        <f t="shared" si="0"/>
        <v>1175.5927096658481</v>
      </c>
      <c r="G29" s="6">
        <f t="shared" si="1"/>
        <v>240027.47533319701</v>
      </c>
      <c r="H29" s="5">
        <f>+H28+Table1[[#This Row],[PRINCIPAL]]</f>
        <v>9972.5246668029813</v>
      </c>
      <c r="I29" s="7">
        <f>Table1[[#This Row],[INTEREST]]+I28</f>
        <v>20592.885784509068</v>
      </c>
      <c r="J29" s="11"/>
      <c r="K29" s="7">
        <f t="shared" si="3"/>
        <v>237827.37368083969</v>
      </c>
      <c r="L29" s="7">
        <f>+References!$B$1-Table1[[#This Row],[INTEREST ]]</f>
        <v>407.60848215480326</v>
      </c>
      <c r="M29" s="5">
        <f>+Inputs!$B$11</f>
        <v>100</v>
      </c>
      <c r="N29" s="7">
        <f>+Table1[[#This Row],[BEGINNING BALANCE ]]*Inputs!$B$4/12</f>
        <v>767.98422751104488</v>
      </c>
      <c r="O29" s="7">
        <f>+SUM(Table1[[#This Row],[PRINCIPAL ]:[INTEREST ]])</f>
        <v>1275.5927096658481</v>
      </c>
      <c r="P29" s="7">
        <f>+Table1[[#This Row],[BEGINNING BALANCE ]]-Table1[[#This Row],[PRINCIPAL ]]-Table1[[#This Row],[EXTRA PAYMENT]]</f>
        <v>237319.76519868488</v>
      </c>
      <c r="Q29" s="5">
        <f>+Table1[[#This Row],[PRINCIPAL ]]+Table1[[#This Row],[EXTRA PAYMENT]]+Q28</f>
        <v>12680.234801315179</v>
      </c>
      <c r="R29" s="7">
        <f>+Table1[[#This Row],[INTEREST ]]+R28</f>
        <v>20485.175649996876</v>
      </c>
    </row>
    <row r="30" spans="1:18" x14ac:dyDescent="0.25">
      <c r="A30">
        <f t="shared" si="10"/>
        <v>27</v>
      </c>
      <c r="B30" s="1">
        <f t="shared" si="8"/>
        <v>41426</v>
      </c>
      <c r="C30" s="6">
        <f t="shared" si="9"/>
        <v>240027.47533319701</v>
      </c>
      <c r="D30" s="7">
        <f>PPMT(Inputs!$B$4/12,A30,Inputs!$B$5*12,-'Amortization Table'!$C$4)</f>
        <v>400.50398723573289</v>
      </c>
      <c r="E30" s="7">
        <f>IPMT(Inputs!$B$4/12,'Amortization Table'!A30,Inputs!$B$5*12,-'Amortization Table'!$C$4)</f>
        <v>775.08872243011535</v>
      </c>
      <c r="F30" s="7">
        <f t="shared" si="0"/>
        <v>1175.5927096658484</v>
      </c>
      <c r="G30" s="6">
        <f t="shared" si="1"/>
        <v>239626.97134596127</v>
      </c>
      <c r="H30" s="5">
        <f>+H29+Table1[[#This Row],[PRINCIPAL]]</f>
        <v>10373.028654038713</v>
      </c>
      <c r="I30" s="7">
        <f>Table1[[#This Row],[INTEREST]]+I29</f>
        <v>21367.974506939183</v>
      </c>
      <c r="J30" s="11"/>
      <c r="K30" s="7">
        <f t="shared" si="3"/>
        <v>237319.76519868488</v>
      </c>
      <c r="L30" s="7">
        <f>+References!$B$1-Table1[[#This Row],[INTEREST ]]</f>
        <v>409.24763454509491</v>
      </c>
      <c r="M30" s="5">
        <f>+Inputs!$B$11</f>
        <v>100</v>
      </c>
      <c r="N30" s="7">
        <f>+Table1[[#This Row],[BEGINNING BALANCE ]]*Inputs!$B$4/12</f>
        <v>766.34507512075322</v>
      </c>
      <c r="O30" s="7">
        <f>+SUM(Table1[[#This Row],[PRINCIPAL ]:[INTEREST ]])</f>
        <v>1275.5927096658481</v>
      </c>
      <c r="P30" s="7">
        <f>+Table1[[#This Row],[BEGINNING BALANCE ]]-Table1[[#This Row],[PRINCIPAL ]]-Table1[[#This Row],[EXTRA PAYMENT]]</f>
        <v>236810.51756413979</v>
      </c>
      <c r="Q30" s="5">
        <f>+Table1[[#This Row],[PRINCIPAL ]]+Table1[[#This Row],[EXTRA PAYMENT]]+Q29</f>
        <v>13189.482435860273</v>
      </c>
      <c r="R30" s="7">
        <f>+Table1[[#This Row],[INTEREST ]]+R29</f>
        <v>21251.520725117629</v>
      </c>
    </row>
    <row r="31" spans="1:18" x14ac:dyDescent="0.25">
      <c r="A31">
        <f t="shared" si="10"/>
        <v>28</v>
      </c>
      <c r="B31" s="1">
        <f t="shared" si="8"/>
        <v>41456</v>
      </c>
      <c r="C31" s="6">
        <f t="shared" si="9"/>
        <v>239626.97134596127</v>
      </c>
      <c r="D31" s="7">
        <f>PPMT(Inputs!$B$4/12,A31,Inputs!$B$5*12,-'Amortization Table'!$C$4)</f>
        <v>401.79728136118166</v>
      </c>
      <c r="E31" s="7">
        <f>IPMT(Inputs!$B$4/12,'Amortization Table'!A31,Inputs!$B$5*12,-'Amortization Table'!$C$4)</f>
        <v>773.79542830466664</v>
      </c>
      <c r="F31" s="7">
        <f t="shared" si="0"/>
        <v>1175.5927096658484</v>
      </c>
      <c r="G31" s="6">
        <f t="shared" si="1"/>
        <v>239225.17406460008</v>
      </c>
      <c r="H31" s="5">
        <f>+H30+Table1[[#This Row],[PRINCIPAL]]</f>
        <v>10774.825935399895</v>
      </c>
      <c r="I31" s="7">
        <f>Table1[[#This Row],[INTEREST]]+I30</f>
        <v>22141.76993524385</v>
      </c>
      <c r="J31" s="11"/>
      <c r="K31" s="7">
        <f t="shared" si="3"/>
        <v>236810.51756413979</v>
      </c>
      <c r="L31" s="7">
        <f>+References!$B$1-Table1[[#This Row],[INTEREST ]]</f>
        <v>410.89208003164674</v>
      </c>
      <c r="M31" s="5">
        <f>+Inputs!$B$11</f>
        <v>100</v>
      </c>
      <c r="N31" s="7">
        <f>+Table1[[#This Row],[BEGINNING BALANCE ]]*Inputs!$B$4/12</f>
        <v>764.70062963420139</v>
      </c>
      <c r="O31" s="7">
        <f>+SUM(Table1[[#This Row],[PRINCIPAL ]:[INTEREST ]])</f>
        <v>1275.5927096658481</v>
      </c>
      <c r="P31" s="7">
        <f>+Table1[[#This Row],[BEGINNING BALANCE ]]-Table1[[#This Row],[PRINCIPAL ]]-Table1[[#This Row],[EXTRA PAYMENT]]</f>
        <v>236299.62548410814</v>
      </c>
      <c r="Q31" s="5">
        <f>+Table1[[#This Row],[PRINCIPAL ]]+Table1[[#This Row],[EXTRA PAYMENT]]+Q30</f>
        <v>13700.374515891919</v>
      </c>
      <c r="R31" s="7">
        <f>+Table1[[#This Row],[INTEREST ]]+R30</f>
        <v>22016.221354751829</v>
      </c>
    </row>
    <row r="32" spans="1:18" x14ac:dyDescent="0.25">
      <c r="A32">
        <f t="shared" si="10"/>
        <v>29</v>
      </c>
      <c r="B32" s="1">
        <f t="shared" si="8"/>
        <v>41487</v>
      </c>
      <c r="C32" s="6">
        <f t="shared" si="9"/>
        <v>239225.17406460008</v>
      </c>
      <c r="D32" s="7">
        <f>PPMT(Inputs!$B$4/12,A32,Inputs!$B$5*12,-'Amortization Table'!$C$4)</f>
        <v>403.09475174891048</v>
      </c>
      <c r="E32" s="7">
        <f>IPMT(Inputs!$B$4/12,'Amortization Table'!A32,Inputs!$B$5*12,-'Amortization Table'!$C$4)</f>
        <v>772.49795791693759</v>
      </c>
      <c r="F32" s="7">
        <f t="shared" si="0"/>
        <v>1175.5927096658481</v>
      </c>
      <c r="G32" s="6">
        <f t="shared" si="1"/>
        <v>238822.07931285119</v>
      </c>
      <c r="H32" s="5">
        <f>+H31+Table1[[#This Row],[PRINCIPAL]]</f>
        <v>11177.920687148806</v>
      </c>
      <c r="I32" s="7">
        <f>Table1[[#This Row],[INTEREST]]+I31</f>
        <v>22914.267893160788</v>
      </c>
      <c r="J32" s="11"/>
      <c r="K32" s="7">
        <f t="shared" si="3"/>
        <v>236299.62548410814</v>
      </c>
      <c r="L32" s="7">
        <f>+References!$B$1-Table1[[#This Row],[INTEREST ]]</f>
        <v>412.541835706749</v>
      </c>
      <c r="M32" s="5">
        <f>+Inputs!$B$11</f>
        <v>100</v>
      </c>
      <c r="N32" s="7">
        <f>+Table1[[#This Row],[BEGINNING BALANCE ]]*Inputs!$B$4/12</f>
        <v>763.05087395909914</v>
      </c>
      <c r="O32" s="7">
        <f>+SUM(Table1[[#This Row],[PRINCIPAL ]:[INTEREST ]])</f>
        <v>1275.5927096658481</v>
      </c>
      <c r="P32" s="7">
        <f>+Table1[[#This Row],[BEGINNING BALANCE ]]-Table1[[#This Row],[PRINCIPAL ]]-Table1[[#This Row],[EXTRA PAYMENT]]</f>
        <v>235787.0836484014</v>
      </c>
      <c r="Q32" s="5">
        <f>+Table1[[#This Row],[PRINCIPAL ]]+Table1[[#This Row],[EXTRA PAYMENT]]+Q31</f>
        <v>14212.916351598667</v>
      </c>
      <c r="R32" s="7">
        <f>+Table1[[#This Row],[INTEREST ]]+R31</f>
        <v>22779.272228710928</v>
      </c>
    </row>
    <row r="33" spans="1:18" x14ac:dyDescent="0.25">
      <c r="A33">
        <f t="shared" si="10"/>
        <v>30</v>
      </c>
      <c r="B33" s="1">
        <f t="shared" si="8"/>
        <v>41518</v>
      </c>
      <c r="C33" s="6">
        <f t="shared" si="9"/>
        <v>238822.07931285119</v>
      </c>
      <c r="D33" s="7">
        <f>PPMT(Inputs!$B$4/12,A33,Inputs!$B$5*12,-'Amortization Table'!$C$4)</f>
        <v>404.39641188476634</v>
      </c>
      <c r="E33" s="7">
        <f>IPMT(Inputs!$B$4/12,'Amortization Table'!A33,Inputs!$B$5*12,-'Amortization Table'!$C$4)</f>
        <v>771.19629778108174</v>
      </c>
      <c r="F33" s="7">
        <f t="shared" si="0"/>
        <v>1175.5927096658481</v>
      </c>
      <c r="G33" s="6">
        <f t="shared" si="1"/>
        <v>238417.68290096641</v>
      </c>
      <c r="H33" s="5">
        <f>+H32+Table1[[#This Row],[PRINCIPAL]]</f>
        <v>11582.317099033573</v>
      </c>
      <c r="I33" s="7">
        <f>Table1[[#This Row],[INTEREST]]+I32</f>
        <v>23685.464190941871</v>
      </c>
      <c r="J33" s="11"/>
      <c r="K33" s="7">
        <f t="shared" si="3"/>
        <v>235787.0836484014</v>
      </c>
      <c r="L33" s="7">
        <f>+References!$B$1-Table1[[#This Row],[INTEREST ]]</f>
        <v>414.1969187178853</v>
      </c>
      <c r="M33" s="5">
        <f>+Inputs!$B$11</f>
        <v>100</v>
      </c>
      <c r="N33" s="7">
        <f>+Table1[[#This Row],[BEGINNING BALANCE ]]*Inputs!$B$4/12</f>
        <v>761.39579094796284</v>
      </c>
      <c r="O33" s="7">
        <f>+SUM(Table1[[#This Row],[PRINCIPAL ]:[INTEREST ]])</f>
        <v>1275.5927096658481</v>
      </c>
      <c r="P33" s="7">
        <f>+Table1[[#This Row],[BEGINNING BALANCE ]]-Table1[[#This Row],[PRINCIPAL ]]-Table1[[#This Row],[EXTRA PAYMENT]]</f>
        <v>235272.88672968352</v>
      </c>
      <c r="Q33" s="5">
        <f>+Table1[[#This Row],[PRINCIPAL ]]+Table1[[#This Row],[EXTRA PAYMENT]]+Q32</f>
        <v>14727.113270316553</v>
      </c>
      <c r="R33" s="7">
        <f>+Table1[[#This Row],[INTEREST ]]+R32</f>
        <v>23540.66801965889</v>
      </c>
    </row>
    <row r="34" spans="1:18" x14ac:dyDescent="0.25">
      <c r="A34">
        <f t="shared" si="10"/>
        <v>31</v>
      </c>
      <c r="B34" s="1">
        <f t="shared" si="8"/>
        <v>41548</v>
      </c>
      <c r="C34" s="6">
        <f t="shared" si="9"/>
        <v>238417.68290096641</v>
      </c>
      <c r="D34" s="7">
        <f>PPMT(Inputs!$B$4/12,A34,Inputs!$B$5*12,-'Amortization Table'!$C$4)</f>
        <v>405.70227529814423</v>
      </c>
      <c r="E34" s="7">
        <f>IPMT(Inputs!$B$4/12,'Amortization Table'!A34,Inputs!$B$5*12,-'Amortization Table'!$C$4)</f>
        <v>769.89043436770396</v>
      </c>
      <c r="F34" s="7">
        <f t="shared" si="0"/>
        <v>1175.5927096658481</v>
      </c>
      <c r="G34" s="6">
        <f t="shared" si="1"/>
        <v>238011.98062566825</v>
      </c>
      <c r="H34" s="5">
        <f>+H33+Table1[[#This Row],[PRINCIPAL]]</f>
        <v>11988.019374331718</v>
      </c>
      <c r="I34" s="7">
        <f>Table1[[#This Row],[INTEREST]]+I33</f>
        <v>24455.354625309574</v>
      </c>
      <c r="J34" s="11"/>
      <c r="K34" s="7">
        <f t="shared" si="3"/>
        <v>235272.88672968352</v>
      </c>
      <c r="L34" s="7">
        <f>+References!$B$1-Table1[[#This Row],[INTEREST ]]</f>
        <v>415.85734626791179</v>
      </c>
      <c r="M34" s="5">
        <f>+Inputs!$B$11</f>
        <v>100</v>
      </c>
      <c r="N34" s="7">
        <f>+Table1[[#This Row],[BEGINNING BALANCE ]]*Inputs!$B$4/12</f>
        <v>759.73536339793634</v>
      </c>
      <c r="O34" s="7">
        <f>+SUM(Table1[[#This Row],[PRINCIPAL ]:[INTEREST ]])</f>
        <v>1275.5927096658481</v>
      </c>
      <c r="P34" s="7">
        <f>+Table1[[#This Row],[BEGINNING BALANCE ]]-Table1[[#This Row],[PRINCIPAL ]]-Table1[[#This Row],[EXTRA PAYMENT]]</f>
        <v>234757.02938341562</v>
      </c>
      <c r="Q34" s="5">
        <f>+Table1[[#This Row],[PRINCIPAL ]]+Table1[[#This Row],[EXTRA PAYMENT]]+Q33</f>
        <v>15242.970616584465</v>
      </c>
      <c r="R34" s="7">
        <f>+Table1[[#This Row],[INTEREST ]]+R33</f>
        <v>24300.403383056826</v>
      </c>
    </row>
    <row r="35" spans="1:18" x14ac:dyDescent="0.25">
      <c r="A35">
        <f t="shared" si="10"/>
        <v>32</v>
      </c>
      <c r="B35" s="1">
        <f t="shared" si="8"/>
        <v>41579</v>
      </c>
      <c r="C35" s="6">
        <f t="shared" si="9"/>
        <v>238011.98062566825</v>
      </c>
      <c r="D35" s="7">
        <f>PPMT(Inputs!$B$4/12,A35,Inputs!$B$5*12,-'Amortization Table'!$C$4)</f>
        <v>407.01235556212782</v>
      </c>
      <c r="E35" s="7">
        <f>IPMT(Inputs!$B$4/12,'Amortization Table'!A35,Inputs!$B$5*12,-'Amortization Table'!$C$4)</f>
        <v>768.58035410372042</v>
      </c>
      <c r="F35" s="7">
        <f t="shared" si="0"/>
        <v>1175.5927096658484</v>
      </c>
      <c r="G35" s="6">
        <f t="shared" si="1"/>
        <v>237604.96827010612</v>
      </c>
      <c r="H35" s="5">
        <f>+H34+Table1[[#This Row],[PRINCIPAL]]</f>
        <v>12395.031729893846</v>
      </c>
      <c r="I35" s="7">
        <f>Table1[[#This Row],[INTEREST]]+I34</f>
        <v>25223.934979413294</v>
      </c>
      <c r="J35" s="11"/>
      <c r="K35" s="7">
        <f t="shared" si="3"/>
        <v>234757.02938341562</v>
      </c>
      <c r="L35" s="7">
        <f>+References!$B$1-Table1[[#This Row],[INTEREST ]]</f>
        <v>417.52313561523522</v>
      </c>
      <c r="M35" s="5">
        <f>+Inputs!$B$11</f>
        <v>100</v>
      </c>
      <c r="N35" s="7">
        <f>+Table1[[#This Row],[BEGINNING BALANCE ]]*Inputs!$B$4/12</f>
        <v>758.06957405061291</v>
      </c>
      <c r="O35" s="7">
        <f>+SUM(Table1[[#This Row],[PRINCIPAL ]:[INTEREST ]])</f>
        <v>1275.5927096658481</v>
      </c>
      <c r="P35" s="7">
        <f>+Table1[[#This Row],[BEGINNING BALANCE ]]-Table1[[#This Row],[PRINCIPAL ]]-Table1[[#This Row],[EXTRA PAYMENT]]</f>
        <v>234239.5062478004</v>
      </c>
      <c r="Q35" s="5">
        <f>+Table1[[#This Row],[PRINCIPAL ]]+Table1[[#This Row],[EXTRA PAYMENT]]+Q34</f>
        <v>15760.4937521997</v>
      </c>
      <c r="R35" s="7">
        <f>+Table1[[#This Row],[INTEREST ]]+R34</f>
        <v>25058.472957107439</v>
      </c>
    </row>
    <row r="36" spans="1:18" x14ac:dyDescent="0.25">
      <c r="A36">
        <f t="shared" si="10"/>
        <v>33</v>
      </c>
      <c r="B36" s="1">
        <f t="shared" si="8"/>
        <v>41609</v>
      </c>
      <c r="C36" s="6">
        <f t="shared" si="9"/>
        <v>237604.96827010612</v>
      </c>
      <c r="D36" s="7">
        <f>PPMT(Inputs!$B$4/12,A36,Inputs!$B$5*12,-'Amortization Table'!$C$4)</f>
        <v>408.32666629363052</v>
      </c>
      <c r="E36" s="7">
        <f>IPMT(Inputs!$B$4/12,'Amortization Table'!A36,Inputs!$B$5*12,-'Amortization Table'!$C$4)</f>
        <v>767.26604337221772</v>
      </c>
      <c r="F36" s="7">
        <f t="shared" si="0"/>
        <v>1175.5927096658484</v>
      </c>
      <c r="G36" s="6">
        <f t="shared" si="1"/>
        <v>237196.64160381249</v>
      </c>
      <c r="H36" s="5">
        <f>+H35+Table1[[#This Row],[PRINCIPAL]]</f>
        <v>12803.358396187477</v>
      </c>
      <c r="I36" s="7">
        <f>Table1[[#This Row],[INTEREST]]+I35</f>
        <v>25991.201022785513</v>
      </c>
      <c r="J36" s="11"/>
      <c r="K36" s="7">
        <f t="shared" si="3"/>
        <v>234239.5062478004</v>
      </c>
      <c r="L36" s="7">
        <f>+References!$B$1-Table1[[#This Row],[INTEREST ]]</f>
        <v>419.19430407399273</v>
      </c>
      <c r="M36" s="5">
        <f>+Inputs!$B$11</f>
        <v>100</v>
      </c>
      <c r="N36" s="7">
        <f>+Table1[[#This Row],[BEGINNING BALANCE ]]*Inputs!$B$4/12</f>
        <v>756.39840559185541</v>
      </c>
      <c r="O36" s="7">
        <f>+SUM(Table1[[#This Row],[PRINCIPAL ]:[INTEREST ]])</f>
        <v>1275.5927096658481</v>
      </c>
      <c r="P36" s="7">
        <f>+Table1[[#This Row],[BEGINNING BALANCE ]]-Table1[[#This Row],[PRINCIPAL ]]-Table1[[#This Row],[EXTRA PAYMENT]]</f>
        <v>233720.31194372641</v>
      </c>
      <c r="Q36" s="5">
        <f>+Table1[[#This Row],[PRINCIPAL ]]+Table1[[#This Row],[EXTRA PAYMENT]]+Q35</f>
        <v>16279.688056273693</v>
      </c>
      <c r="R36" s="7">
        <f>+Table1[[#This Row],[INTEREST ]]+R35</f>
        <v>25814.871362699294</v>
      </c>
    </row>
    <row r="37" spans="1:18" x14ac:dyDescent="0.25">
      <c r="A37">
        <f t="shared" si="10"/>
        <v>34</v>
      </c>
      <c r="B37" s="1">
        <f t="shared" si="8"/>
        <v>41640</v>
      </c>
      <c r="C37" s="6">
        <f t="shared" si="9"/>
        <v>237196.64160381249</v>
      </c>
      <c r="D37" s="7">
        <f>PPMT(Inputs!$B$4/12,A37,Inputs!$B$5*12,-'Amortization Table'!$C$4)</f>
        <v>409.64522115353708</v>
      </c>
      <c r="E37" s="7">
        <f>IPMT(Inputs!$B$4/12,'Amortization Table'!A37,Inputs!$B$5*12,-'Amortization Table'!$C$4)</f>
        <v>765.94748851231111</v>
      </c>
      <c r="F37" s="7">
        <f t="shared" si="0"/>
        <v>1175.5927096658481</v>
      </c>
      <c r="G37" s="6">
        <f t="shared" si="1"/>
        <v>236786.99638265895</v>
      </c>
      <c r="H37" s="5">
        <f>+H36+Table1[[#This Row],[PRINCIPAL]]</f>
        <v>13213.003617341015</v>
      </c>
      <c r="I37" s="7">
        <f>Table1[[#This Row],[INTEREST]]+I36</f>
        <v>26757.148511297826</v>
      </c>
      <c r="J37" s="11"/>
      <c r="K37" s="7">
        <f t="shared" si="3"/>
        <v>233720.31194372641</v>
      </c>
      <c r="L37" s="7">
        <f>+References!$B$1-Table1[[#This Row],[INTEREST ]]</f>
        <v>420.87086901423152</v>
      </c>
      <c r="M37" s="5">
        <f>+Inputs!$B$11</f>
        <v>100</v>
      </c>
      <c r="N37" s="7">
        <f>+Table1[[#This Row],[BEGINNING BALANCE ]]*Inputs!$B$4/12</f>
        <v>754.72184065161662</v>
      </c>
      <c r="O37" s="7">
        <f>+SUM(Table1[[#This Row],[PRINCIPAL ]:[INTEREST ]])</f>
        <v>1275.5927096658481</v>
      </c>
      <c r="P37" s="7">
        <f>+Table1[[#This Row],[BEGINNING BALANCE ]]-Table1[[#This Row],[PRINCIPAL ]]-Table1[[#This Row],[EXTRA PAYMENT]]</f>
        <v>233199.44107471217</v>
      </c>
      <c r="Q37" s="5">
        <f>+Table1[[#This Row],[PRINCIPAL ]]+Table1[[#This Row],[EXTRA PAYMENT]]+Q36</f>
        <v>16800.558925287925</v>
      </c>
      <c r="R37" s="7">
        <f>+Table1[[#This Row],[INTEREST ]]+R36</f>
        <v>26569.593203350909</v>
      </c>
    </row>
    <row r="38" spans="1:18" x14ac:dyDescent="0.25">
      <c r="A38">
        <f t="shared" ref="A38:A101" si="11">+A37+1</f>
        <v>35</v>
      </c>
      <c r="B38" s="1">
        <f t="shared" ref="B38:B101" si="12">+EOMONTH(B37,0)+1</f>
        <v>41671</v>
      </c>
      <c r="C38" s="6">
        <f t="shared" ref="C38:C101" si="13">+G37</f>
        <v>236786.99638265895</v>
      </c>
      <c r="D38" s="7">
        <f>PPMT(Inputs!$B$4/12,A38,Inputs!$B$5*12,-'Amortization Table'!$C$4)</f>
        <v>410.96803384684529</v>
      </c>
      <c r="E38" s="7">
        <f>IPMT(Inputs!$B$4/12,'Amortization Table'!A38,Inputs!$B$5*12,-'Amortization Table'!$C$4)</f>
        <v>764.62467581900285</v>
      </c>
      <c r="F38" s="7">
        <f t="shared" si="0"/>
        <v>1175.5927096658481</v>
      </c>
      <c r="G38" s="6">
        <f t="shared" si="1"/>
        <v>236376.02834881211</v>
      </c>
      <c r="H38" s="5">
        <f>+H37+Table1[[#This Row],[PRINCIPAL]]</f>
        <v>13623.971651187861</v>
      </c>
      <c r="I38" s="7">
        <f>Table1[[#This Row],[INTEREST]]+I37</f>
        <v>27521.773187116829</v>
      </c>
      <c r="J38" s="11"/>
      <c r="K38" s="7">
        <f t="shared" si="3"/>
        <v>233199.44107471217</v>
      </c>
      <c r="L38" s="7">
        <f>+References!$B$1-Table1[[#This Row],[INTEREST ]]</f>
        <v>422.55284786209006</v>
      </c>
      <c r="M38" s="5">
        <f>+Inputs!$B$11</f>
        <v>100</v>
      </c>
      <c r="N38" s="7">
        <f>+Table1[[#This Row],[BEGINNING BALANCE ]]*Inputs!$B$4/12</f>
        <v>753.03986180375807</v>
      </c>
      <c r="O38" s="7">
        <f>+SUM(Table1[[#This Row],[PRINCIPAL ]:[INTEREST ]])</f>
        <v>1275.5927096658481</v>
      </c>
      <c r="P38" s="7">
        <f>+Table1[[#This Row],[BEGINNING BALANCE ]]-Table1[[#This Row],[PRINCIPAL ]]-Table1[[#This Row],[EXTRA PAYMENT]]</f>
        <v>232676.88822685007</v>
      </c>
      <c r="Q38" s="5">
        <f>+Table1[[#This Row],[PRINCIPAL ]]+Table1[[#This Row],[EXTRA PAYMENT]]+Q37</f>
        <v>17323.111773150016</v>
      </c>
      <c r="R38" s="7">
        <f>+Table1[[#This Row],[INTEREST ]]+R37</f>
        <v>27322.633065154667</v>
      </c>
    </row>
    <row r="39" spans="1:18" x14ac:dyDescent="0.25">
      <c r="A39">
        <f t="shared" si="11"/>
        <v>36</v>
      </c>
      <c r="B39" s="1">
        <f t="shared" si="12"/>
        <v>41699</v>
      </c>
      <c r="C39" s="6">
        <f t="shared" si="13"/>
        <v>236376.02834881211</v>
      </c>
      <c r="D39" s="7">
        <f>PPMT(Inputs!$B$4/12,A39,Inputs!$B$5*12,-'Amortization Table'!$C$4)</f>
        <v>412.29511812280913</v>
      </c>
      <c r="E39" s="7">
        <f>IPMT(Inputs!$B$4/12,'Amortization Table'!A39,Inputs!$B$5*12,-'Amortization Table'!$C$4)</f>
        <v>763.29759154303895</v>
      </c>
      <c r="F39" s="7">
        <f t="shared" si="0"/>
        <v>1175.5927096658481</v>
      </c>
      <c r="G39" s="6">
        <f t="shared" si="1"/>
        <v>235963.73323068931</v>
      </c>
      <c r="H39" s="5">
        <f>+H38+Table1[[#This Row],[PRINCIPAL]]</f>
        <v>14036.26676931067</v>
      </c>
      <c r="I39" s="7">
        <f>Table1[[#This Row],[INTEREST]]+I38</f>
        <v>28285.070778659869</v>
      </c>
      <c r="J39" s="11"/>
      <c r="K39" s="7">
        <f t="shared" si="3"/>
        <v>232676.88822685007</v>
      </c>
      <c r="L39" s="7">
        <f>+References!$B$1-Table1[[#This Row],[INTEREST ]]</f>
        <v>424.24025809997806</v>
      </c>
      <c r="M39" s="5">
        <f>+Inputs!$B$11</f>
        <v>100</v>
      </c>
      <c r="N39" s="7">
        <f>+Table1[[#This Row],[BEGINNING BALANCE ]]*Inputs!$B$4/12</f>
        <v>751.35245156587007</v>
      </c>
      <c r="O39" s="7">
        <f>+SUM(Table1[[#This Row],[PRINCIPAL ]:[INTEREST ]])</f>
        <v>1275.5927096658481</v>
      </c>
      <c r="P39" s="7">
        <f>+Table1[[#This Row],[BEGINNING BALANCE ]]-Table1[[#This Row],[PRINCIPAL ]]-Table1[[#This Row],[EXTRA PAYMENT]]</f>
        <v>232152.6479687501</v>
      </c>
      <c r="Q39" s="5">
        <f>+Table1[[#This Row],[PRINCIPAL ]]+Table1[[#This Row],[EXTRA PAYMENT]]+Q38</f>
        <v>17847.352031249993</v>
      </c>
      <c r="R39" s="7">
        <f>+Table1[[#This Row],[INTEREST ]]+R38</f>
        <v>28073.985516720539</v>
      </c>
    </row>
    <row r="40" spans="1:18" x14ac:dyDescent="0.25">
      <c r="A40">
        <f t="shared" si="11"/>
        <v>37</v>
      </c>
      <c r="B40" s="1">
        <f t="shared" si="12"/>
        <v>41730</v>
      </c>
      <c r="C40" s="6">
        <f t="shared" si="13"/>
        <v>235963.73323068931</v>
      </c>
      <c r="D40" s="7">
        <f>PPMT(Inputs!$B$4/12,A40,Inputs!$B$5*12,-'Amortization Table'!$C$4)</f>
        <v>413.6264877750807</v>
      </c>
      <c r="E40" s="7">
        <f>IPMT(Inputs!$B$4/12,'Amortization Table'!A40,Inputs!$B$5*12,-'Amortization Table'!$C$4)</f>
        <v>761.96622189076743</v>
      </c>
      <c r="F40" s="7">
        <f t="shared" si="0"/>
        <v>1175.5927096658481</v>
      </c>
      <c r="G40" s="6">
        <f t="shared" si="1"/>
        <v>235550.10674291421</v>
      </c>
      <c r="H40" s="5">
        <f>+H39+Table1[[#This Row],[PRINCIPAL]]</f>
        <v>14449.893257085751</v>
      </c>
      <c r="I40" s="7">
        <f>Table1[[#This Row],[INTEREST]]+I39</f>
        <v>29047.037000550637</v>
      </c>
      <c r="J40" s="11"/>
      <c r="K40" s="7">
        <f t="shared" si="3"/>
        <v>232152.6479687501</v>
      </c>
      <c r="L40" s="7">
        <f>+References!$B$1-Table1[[#This Row],[INTEREST ]]</f>
        <v>425.93311726675927</v>
      </c>
      <c r="M40" s="5">
        <f>+Inputs!$B$11</f>
        <v>100</v>
      </c>
      <c r="N40" s="7">
        <f>+Table1[[#This Row],[BEGINNING BALANCE ]]*Inputs!$B$4/12</f>
        <v>749.65959239908887</v>
      </c>
      <c r="O40" s="7">
        <f>+SUM(Table1[[#This Row],[PRINCIPAL ]:[INTEREST ]])</f>
        <v>1275.5927096658481</v>
      </c>
      <c r="P40" s="7">
        <f>+Table1[[#This Row],[BEGINNING BALANCE ]]-Table1[[#This Row],[PRINCIPAL ]]-Table1[[#This Row],[EXTRA PAYMENT]]</f>
        <v>231626.71485148332</v>
      </c>
      <c r="Q40" s="5">
        <f>+Table1[[#This Row],[PRINCIPAL ]]+Table1[[#This Row],[EXTRA PAYMENT]]+Q39</f>
        <v>18373.285148516752</v>
      </c>
      <c r="R40" s="7">
        <f>+Table1[[#This Row],[INTEREST ]]+R39</f>
        <v>28823.645109119629</v>
      </c>
    </row>
    <row r="41" spans="1:18" x14ac:dyDescent="0.25">
      <c r="A41">
        <f t="shared" si="11"/>
        <v>38</v>
      </c>
      <c r="B41" s="1">
        <f t="shared" si="12"/>
        <v>41760</v>
      </c>
      <c r="C41" s="6">
        <f t="shared" si="13"/>
        <v>235550.10674291421</v>
      </c>
      <c r="D41" s="7">
        <f>PPMT(Inputs!$B$4/12,A41,Inputs!$B$5*12,-'Amortization Table'!$C$4)</f>
        <v>414.96215664185445</v>
      </c>
      <c r="E41" s="7">
        <f>IPMT(Inputs!$B$4/12,'Amortization Table'!A41,Inputs!$B$5*12,-'Amortization Table'!$C$4)</f>
        <v>760.63055302399368</v>
      </c>
      <c r="F41" s="7">
        <f t="shared" si="0"/>
        <v>1175.5927096658481</v>
      </c>
      <c r="G41" s="6">
        <f t="shared" si="1"/>
        <v>235135.14458627236</v>
      </c>
      <c r="H41" s="5">
        <f>+H40+Table1[[#This Row],[PRINCIPAL]]</f>
        <v>14864.855413727604</v>
      </c>
      <c r="I41" s="7">
        <f>Table1[[#This Row],[INTEREST]]+I40</f>
        <v>29807.667553574633</v>
      </c>
      <c r="J41" s="11"/>
      <c r="K41" s="7">
        <f t="shared" si="3"/>
        <v>231626.71485148332</v>
      </c>
      <c r="L41" s="7">
        <f>+References!$B$1-Table1[[#This Row],[INTEREST ]]</f>
        <v>427.63144295793325</v>
      </c>
      <c r="M41" s="5">
        <f>+Inputs!$B$11</f>
        <v>100</v>
      </c>
      <c r="N41" s="7">
        <f>+Table1[[#This Row],[BEGINNING BALANCE ]]*Inputs!$B$4/12</f>
        <v>747.96126670791489</v>
      </c>
      <c r="O41" s="7">
        <f>+SUM(Table1[[#This Row],[PRINCIPAL ]:[INTEREST ]])</f>
        <v>1275.5927096658481</v>
      </c>
      <c r="P41" s="7">
        <f>+Table1[[#This Row],[BEGINNING BALANCE ]]-Table1[[#This Row],[PRINCIPAL ]]-Table1[[#This Row],[EXTRA PAYMENT]]</f>
        <v>231099.08340852539</v>
      </c>
      <c r="Q41" s="5">
        <f>+Table1[[#This Row],[PRINCIPAL ]]+Table1[[#This Row],[EXTRA PAYMENT]]+Q40</f>
        <v>18900.916591474685</v>
      </c>
      <c r="R41" s="7">
        <f>+Table1[[#This Row],[INTEREST ]]+R40</f>
        <v>29571.606375827545</v>
      </c>
    </row>
    <row r="42" spans="1:18" x14ac:dyDescent="0.25">
      <c r="A42">
        <f t="shared" si="11"/>
        <v>39</v>
      </c>
      <c r="B42" s="1">
        <f t="shared" si="12"/>
        <v>41791</v>
      </c>
      <c r="C42" s="6">
        <f t="shared" si="13"/>
        <v>235135.14458627236</v>
      </c>
      <c r="D42" s="7">
        <f>PPMT(Inputs!$B$4/12,A42,Inputs!$B$5*12,-'Amortization Table'!$C$4)</f>
        <v>416.30213860601032</v>
      </c>
      <c r="E42" s="7">
        <f>IPMT(Inputs!$B$4/12,'Amortization Table'!A42,Inputs!$B$5*12,-'Amortization Table'!$C$4)</f>
        <v>759.29057105983782</v>
      </c>
      <c r="F42" s="7">
        <f t="shared" si="0"/>
        <v>1175.5927096658481</v>
      </c>
      <c r="G42" s="6">
        <f t="shared" si="1"/>
        <v>234718.84244766636</v>
      </c>
      <c r="H42" s="5">
        <f>+H41+Table1[[#This Row],[PRINCIPAL]]</f>
        <v>15281.157552333614</v>
      </c>
      <c r="I42" s="7">
        <f>Table1[[#This Row],[INTEREST]]+I41</f>
        <v>30566.958124634471</v>
      </c>
      <c r="J42" s="11"/>
      <c r="K42" s="7">
        <f t="shared" si="3"/>
        <v>231099.08340852539</v>
      </c>
      <c r="L42" s="7">
        <f>+References!$B$1-Table1[[#This Row],[INTEREST ]]</f>
        <v>429.3352528258182</v>
      </c>
      <c r="M42" s="5">
        <f>+Inputs!$B$11</f>
        <v>100</v>
      </c>
      <c r="N42" s="7">
        <f>+Table1[[#This Row],[BEGINNING BALANCE ]]*Inputs!$B$4/12</f>
        <v>746.25745684002993</v>
      </c>
      <c r="O42" s="7">
        <f>+SUM(Table1[[#This Row],[PRINCIPAL ]:[INTEREST ]])</f>
        <v>1275.5927096658481</v>
      </c>
      <c r="P42" s="7">
        <f>+Table1[[#This Row],[BEGINNING BALANCE ]]-Table1[[#This Row],[PRINCIPAL ]]-Table1[[#This Row],[EXTRA PAYMENT]]</f>
        <v>230569.74815569958</v>
      </c>
      <c r="Q42" s="5">
        <f>+Table1[[#This Row],[PRINCIPAL ]]+Table1[[#This Row],[EXTRA PAYMENT]]+Q41</f>
        <v>19430.251844300503</v>
      </c>
      <c r="R42" s="7">
        <f>+Table1[[#This Row],[INTEREST ]]+R41</f>
        <v>30317.863832667575</v>
      </c>
    </row>
    <row r="43" spans="1:18" x14ac:dyDescent="0.25">
      <c r="A43">
        <f t="shared" si="11"/>
        <v>40</v>
      </c>
      <c r="B43" s="1">
        <f t="shared" si="12"/>
        <v>41821</v>
      </c>
      <c r="C43" s="6">
        <f t="shared" si="13"/>
        <v>234718.84244766636</v>
      </c>
      <c r="D43" s="7">
        <f>PPMT(Inputs!$B$4/12,A43,Inputs!$B$5*12,-'Amortization Table'!$C$4)</f>
        <v>417.64644759525891</v>
      </c>
      <c r="E43" s="7">
        <f>IPMT(Inputs!$B$4/12,'Amortization Table'!A43,Inputs!$B$5*12,-'Amortization Table'!$C$4)</f>
        <v>757.94626207058934</v>
      </c>
      <c r="F43" s="7">
        <f t="shared" si="0"/>
        <v>1175.5927096658484</v>
      </c>
      <c r="G43" s="6">
        <f t="shared" si="1"/>
        <v>234301.1960000711</v>
      </c>
      <c r="H43" s="5">
        <f>+H42+Table1[[#This Row],[PRINCIPAL]]</f>
        <v>15698.803999928874</v>
      </c>
      <c r="I43" s="7">
        <f>Table1[[#This Row],[INTEREST]]+I42</f>
        <v>31324.90438670506</v>
      </c>
      <c r="J43" s="11"/>
      <c r="K43" s="7">
        <f t="shared" si="3"/>
        <v>230569.74815569958</v>
      </c>
      <c r="L43" s="7">
        <f>+References!$B$1-Table1[[#This Row],[INTEREST ]]</f>
        <v>431.04456457973481</v>
      </c>
      <c r="M43" s="5">
        <f>+Inputs!$B$11</f>
        <v>100</v>
      </c>
      <c r="N43" s="7">
        <f>+Table1[[#This Row],[BEGINNING BALANCE ]]*Inputs!$B$4/12</f>
        <v>744.54814508611332</v>
      </c>
      <c r="O43" s="7">
        <f>+SUM(Table1[[#This Row],[PRINCIPAL ]:[INTEREST ]])</f>
        <v>1275.5927096658481</v>
      </c>
      <c r="P43" s="7">
        <f>+Table1[[#This Row],[BEGINNING BALANCE ]]-Table1[[#This Row],[PRINCIPAL ]]-Table1[[#This Row],[EXTRA PAYMENT]]</f>
        <v>230038.70359111985</v>
      </c>
      <c r="Q43" s="5">
        <f>+Table1[[#This Row],[PRINCIPAL ]]+Table1[[#This Row],[EXTRA PAYMENT]]+Q42</f>
        <v>19961.296408880236</v>
      </c>
      <c r="R43" s="7">
        <f>+Table1[[#This Row],[INTEREST ]]+R42</f>
        <v>31062.411977753687</v>
      </c>
    </row>
    <row r="44" spans="1:18" x14ac:dyDescent="0.25">
      <c r="A44">
        <f t="shared" si="11"/>
        <v>41</v>
      </c>
      <c r="B44" s="1">
        <f t="shared" si="12"/>
        <v>41852</v>
      </c>
      <c r="C44" s="6">
        <f t="shared" si="13"/>
        <v>234301.1960000711</v>
      </c>
      <c r="D44" s="7">
        <f>PPMT(Inputs!$B$4/12,A44,Inputs!$B$5*12,-'Amortization Table'!$C$4)</f>
        <v>418.99509758228527</v>
      </c>
      <c r="E44" s="7">
        <f>IPMT(Inputs!$B$4/12,'Amortization Table'!A44,Inputs!$B$5*12,-'Amortization Table'!$C$4)</f>
        <v>756.59761208356281</v>
      </c>
      <c r="F44" s="7">
        <f t="shared" si="0"/>
        <v>1175.5927096658481</v>
      </c>
      <c r="G44" s="6">
        <f t="shared" si="1"/>
        <v>233882.20090248881</v>
      </c>
      <c r="H44" s="5">
        <f>+H43+Table1[[#This Row],[PRINCIPAL]]</f>
        <v>16117.799097511159</v>
      </c>
      <c r="I44" s="7">
        <f>Table1[[#This Row],[INTEREST]]+I43</f>
        <v>32081.501998788623</v>
      </c>
      <c r="J44" s="11"/>
      <c r="K44" s="7">
        <f t="shared" si="3"/>
        <v>230038.70359111985</v>
      </c>
      <c r="L44" s="7">
        <f>+References!$B$1-Table1[[#This Row],[INTEREST ]]</f>
        <v>432.75939598619027</v>
      </c>
      <c r="M44" s="5">
        <f>+Inputs!$B$11</f>
        <v>100</v>
      </c>
      <c r="N44" s="7">
        <f>+Table1[[#This Row],[BEGINNING BALANCE ]]*Inputs!$B$4/12</f>
        <v>742.83331367965786</v>
      </c>
      <c r="O44" s="7">
        <f>+SUM(Table1[[#This Row],[PRINCIPAL ]:[INTEREST ]])</f>
        <v>1275.5927096658481</v>
      </c>
      <c r="P44" s="7">
        <f>+Table1[[#This Row],[BEGINNING BALANCE ]]-Table1[[#This Row],[PRINCIPAL ]]-Table1[[#This Row],[EXTRA PAYMENT]]</f>
        <v>229505.94419513366</v>
      </c>
      <c r="Q44" s="5">
        <f>+Table1[[#This Row],[PRINCIPAL ]]+Table1[[#This Row],[EXTRA PAYMENT]]+Q43</f>
        <v>20494.055804866428</v>
      </c>
      <c r="R44" s="7">
        <f>+Table1[[#This Row],[INTEREST ]]+R43</f>
        <v>31805.245291433344</v>
      </c>
    </row>
    <row r="45" spans="1:18" x14ac:dyDescent="0.25">
      <c r="A45">
        <f t="shared" si="11"/>
        <v>42</v>
      </c>
      <c r="B45" s="1">
        <f t="shared" si="12"/>
        <v>41883</v>
      </c>
      <c r="C45" s="6">
        <f t="shared" si="13"/>
        <v>233882.20090248881</v>
      </c>
      <c r="D45" s="7">
        <f>PPMT(Inputs!$B$4/12,A45,Inputs!$B$5*12,-'Amortization Table'!$C$4)</f>
        <v>420.34810258489478</v>
      </c>
      <c r="E45" s="7">
        <f>IPMT(Inputs!$B$4/12,'Amortization Table'!A45,Inputs!$B$5*12,-'Amortization Table'!$C$4)</f>
        <v>755.24460708095341</v>
      </c>
      <c r="F45" s="7">
        <f t="shared" si="0"/>
        <v>1175.5927096658481</v>
      </c>
      <c r="G45" s="6">
        <f t="shared" si="1"/>
        <v>233461.85279990392</v>
      </c>
      <c r="H45" s="5">
        <f>+H44+Table1[[#This Row],[PRINCIPAL]]</f>
        <v>16538.147200096053</v>
      </c>
      <c r="I45" s="7">
        <f>Table1[[#This Row],[INTEREST]]+I44</f>
        <v>32836.746605869579</v>
      </c>
      <c r="J45" s="11"/>
      <c r="K45" s="7">
        <f t="shared" si="3"/>
        <v>229505.94419513366</v>
      </c>
      <c r="L45" s="7">
        <f>+References!$B$1-Table1[[#This Row],[INTEREST ]]</f>
        <v>434.47976486906225</v>
      </c>
      <c r="M45" s="5">
        <f>+Inputs!$B$11</f>
        <v>100</v>
      </c>
      <c r="N45" s="7">
        <f>+Table1[[#This Row],[BEGINNING BALANCE ]]*Inputs!$B$4/12</f>
        <v>741.11294479678588</v>
      </c>
      <c r="O45" s="7">
        <f>+SUM(Table1[[#This Row],[PRINCIPAL ]:[INTEREST ]])</f>
        <v>1275.5927096658481</v>
      </c>
      <c r="P45" s="7">
        <f>+Table1[[#This Row],[BEGINNING BALANCE ]]-Table1[[#This Row],[PRINCIPAL ]]-Table1[[#This Row],[EXTRA PAYMENT]]</f>
        <v>228971.4644302646</v>
      </c>
      <c r="Q45" s="5">
        <f>+Table1[[#This Row],[PRINCIPAL ]]+Table1[[#This Row],[EXTRA PAYMENT]]+Q44</f>
        <v>21028.53556973549</v>
      </c>
      <c r="R45" s="7">
        <f>+Table1[[#This Row],[INTEREST ]]+R44</f>
        <v>32546.358236230131</v>
      </c>
    </row>
    <row r="46" spans="1:18" x14ac:dyDescent="0.25">
      <c r="A46">
        <f t="shared" si="11"/>
        <v>43</v>
      </c>
      <c r="B46" s="1">
        <f t="shared" si="12"/>
        <v>41913</v>
      </c>
      <c r="C46" s="6">
        <f t="shared" si="13"/>
        <v>233461.85279990392</v>
      </c>
      <c r="D46" s="7">
        <f>PPMT(Inputs!$B$4/12,A46,Inputs!$B$5*12,-'Amortization Table'!$C$4)</f>
        <v>421.70547666615846</v>
      </c>
      <c r="E46" s="7">
        <f>IPMT(Inputs!$B$4/12,'Amortization Table'!A46,Inputs!$B$5*12,-'Amortization Table'!$C$4)</f>
        <v>753.88723299968967</v>
      </c>
      <c r="F46" s="7">
        <f t="shared" si="0"/>
        <v>1175.5927096658481</v>
      </c>
      <c r="G46" s="6">
        <f t="shared" si="1"/>
        <v>233040.14732323776</v>
      </c>
      <c r="H46" s="5">
        <f>+H45+Table1[[#This Row],[PRINCIPAL]]</f>
        <v>16959.85267676221</v>
      </c>
      <c r="I46" s="7">
        <f>Table1[[#This Row],[INTEREST]]+I45</f>
        <v>33590.633838869267</v>
      </c>
      <c r="J46" s="11"/>
      <c r="K46" s="7">
        <f t="shared" si="3"/>
        <v>228971.4644302646</v>
      </c>
      <c r="L46" s="7">
        <f>+References!$B$1-Table1[[#This Row],[INTEREST ]]</f>
        <v>436.20568910978534</v>
      </c>
      <c r="M46" s="5">
        <f>+Inputs!$B$11</f>
        <v>100</v>
      </c>
      <c r="N46" s="7">
        <f>+Table1[[#This Row],[BEGINNING BALANCE ]]*Inputs!$B$4/12</f>
        <v>739.38702055606279</v>
      </c>
      <c r="O46" s="7">
        <f>+SUM(Table1[[#This Row],[PRINCIPAL ]:[INTEREST ]])</f>
        <v>1275.5927096658481</v>
      </c>
      <c r="P46" s="7">
        <f>+Table1[[#This Row],[BEGINNING BALANCE ]]-Table1[[#This Row],[PRINCIPAL ]]-Table1[[#This Row],[EXTRA PAYMENT]]</f>
        <v>228435.25874115483</v>
      </c>
      <c r="Q46" s="5">
        <f>+Table1[[#This Row],[PRINCIPAL ]]+Table1[[#This Row],[EXTRA PAYMENT]]+Q45</f>
        <v>21564.741258845275</v>
      </c>
      <c r="R46" s="7">
        <f>+Table1[[#This Row],[INTEREST ]]+R45</f>
        <v>33285.745256786191</v>
      </c>
    </row>
    <row r="47" spans="1:18" x14ac:dyDescent="0.25">
      <c r="A47">
        <f t="shared" si="11"/>
        <v>44</v>
      </c>
      <c r="B47" s="1">
        <f t="shared" si="12"/>
        <v>41944</v>
      </c>
      <c r="C47" s="6">
        <f t="shared" si="13"/>
        <v>233040.14732323776</v>
      </c>
      <c r="D47" s="7">
        <f>PPMT(Inputs!$B$4/12,A47,Inputs!$B$5*12,-'Amortization Table'!$C$4)</f>
        <v>423.06723393455962</v>
      </c>
      <c r="E47" s="7">
        <f>IPMT(Inputs!$B$4/12,'Amortization Table'!A47,Inputs!$B$5*12,-'Amortization Table'!$C$4)</f>
        <v>752.52547573128845</v>
      </c>
      <c r="F47" s="7">
        <f t="shared" si="0"/>
        <v>1175.5927096658481</v>
      </c>
      <c r="G47" s="6">
        <f t="shared" si="1"/>
        <v>232617.0800893032</v>
      </c>
      <c r="H47" s="5">
        <f>+H46+Table1[[#This Row],[PRINCIPAL]]</f>
        <v>17382.919910696768</v>
      </c>
      <c r="I47" s="7">
        <f>Table1[[#This Row],[INTEREST]]+I46</f>
        <v>34343.159314600554</v>
      </c>
      <c r="J47" s="11"/>
      <c r="K47" s="7">
        <f t="shared" si="3"/>
        <v>228435.25874115483</v>
      </c>
      <c r="L47" s="7">
        <f>+References!$B$1-Table1[[#This Row],[INTEREST ]]</f>
        <v>437.93718664753567</v>
      </c>
      <c r="M47" s="5">
        <f>+Inputs!$B$11</f>
        <v>100</v>
      </c>
      <c r="N47" s="7">
        <f>+Table1[[#This Row],[BEGINNING BALANCE ]]*Inputs!$B$4/12</f>
        <v>737.65552301831246</v>
      </c>
      <c r="O47" s="7">
        <f>+SUM(Table1[[#This Row],[PRINCIPAL ]:[INTEREST ]])</f>
        <v>1275.5927096658481</v>
      </c>
      <c r="P47" s="7">
        <f>+Table1[[#This Row],[BEGINNING BALANCE ]]-Table1[[#This Row],[PRINCIPAL ]]-Table1[[#This Row],[EXTRA PAYMENT]]</f>
        <v>227897.3215545073</v>
      </c>
      <c r="Q47" s="5">
        <f>+Table1[[#This Row],[PRINCIPAL ]]+Table1[[#This Row],[EXTRA PAYMENT]]+Q46</f>
        <v>22102.678445492809</v>
      </c>
      <c r="R47" s="7">
        <f>+Table1[[#This Row],[INTEREST ]]+R46</f>
        <v>34023.400779804506</v>
      </c>
    </row>
    <row r="48" spans="1:18" x14ac:dyDescent="0.25">
      <c r="A48">
        <f t="shared" si="11"/>
        <v>45</v>
      </c>
      <c r="B48" s="1">
        <f t="shared" si="12"/>
        <v>41974</v>
      </c>
      <c r="C48" s="6">
        <f t="shared" si="13"/>
        <v>232617.0800893032</v>
      </c>
      <c r="D48" s="7">
        <f>PPMT(Inputs!$B$4/12,A48,Inputs!$B$5*12,-'Amortization Table'!$C$4)</f>
        <v>424.43338854413997</v>
      </c>
      <c r="E48" s="7">
        <f>IPMT(Inputs!$B$4/12,'Amortization Table'!A48,Inputs!$B$5*12,-'Amortization Table'!$C$4)</f>
        <v>751.15932112170822</v>
      </c>
      <c r="F48" s="7">
        <f t="shared" si="0"/>
        <v>1175.5927096658481</v>
      </c>
      <c r="G48" s="6">
        <f t="shared" si="1"/>
        <v>232192.64670075907</v>
      </c>
      <c r="H48" s="5">
        <f>+H47+Table1[[#This Row],[PRINCIPAL]]</f>
        <v>17807.353299240909</v>
      </c>
      <c r="I48" s="7">
        <f>Table1[[#This Row],[INTEREST]]+I47</f>
        <v>35094.318635722266</v>
      </c>
      <c r="J48" s="11"/>
      <c r="K48" s="7">
        <f t="shared" si="3"/>
        <v>227897.3215545073</v>
      </c>
      <c r="L48" s="7">
        <f>+References!$B$1-Table1[[#This Row],[INTEREST ]]</f>
        <v>439.67427547941827</v>
      </c>
      <c r="M48" s="5">
        <f>+Inputs!$B$11</f>
        <v>100</v>
      </c>
      <c r="N48" s="7">
        <f>+Table1[[#This Row],[BEGINNING BALANCE ]]*Inputs!$B$4/12</f>
        <v>735.91843418642986</v>
      </c>
      <c r="O48" s="7">
        <f>+SUM(Table1[[#This Row],[PRINCIPAL ]:[INTEREST ]])</f>
        <v>1275.5927096658481</v>
      </c>
      <c r="P48" s="7">
        <f>+Table1[[#This Row],[BEGINNING BALANCE ]]-Table1[[#This Row],[PRINCIPAL ]]-Table1[[#This Row],[EXTRA PAYMENT]]</f>
        <v>227357.64727902788</v>
      </c>
      <c r="Q48" s="5">
        <f>+Table1[[#This Row],[PRINCIPAL ]]+Table1[[#This Row],[EXTRA PAYMENT]]+Q47</f>
        <v>22642.352720972227</v>
      </c>
      <c r="R48" s="7">
        <f>+Table1[[#This Row],[INTEREST ]]+R47</f>
        <v>34759.319213990937</v>
      </c>
    </row>
    <row r="49" spans="1:18" x14ac:dyDescent="0.25">
      <c r="A49">
        <f t="shared" si="11"/>
        <v>46</v>
      </c>
      <c r="B49" s="1">
        <f t="shared" si="12"/>
        <v>42005</v>
      </c>
      <c r="C49" s="6">
        <f t="shared" si="13"/>
        <v>232192.64670075907</v>
      </c>
      <c r="D49" s="7">
        <f>PPMT(Inputs!$B$4/12,A49,Inputs!$B$5*12,-'Amortization Table'!$C$4)</f>
        <v>425.80395469464708</v>
      </c>
      <c r="E49" s="7">
        <f>IPMT(Inputs!$B$4/12,'Amortization Table'!A49,Inputs!$B$5*12,-'Amortization Table'!$C$4)</f>
        <v>749.78875497120112</v>
      </c>
      <c r="F49" s="7">
        <f t="shared" si="0"/>
        <v>1175.5927096658481</v>
      </c>
      <c r="G49" s="6">
        <f t="shared" si="1"/>
        <v>231766.84274606442</v>
      </c>
      <c r="H49" s="5">
        <f>+H48+Table1[[#This Row],[PRINCIPAL]]</f>
        <v>18233.157253935555</v>
      </c>
      <c r="I49" s="7">
        <f>Table1[[#This Row],[INTEREST]]+I48</f>
        <v>35844.107390693469</v>
      </c>
      <c r="J49" s="11"/>
      <c r="K49" s="7">
        <f t="shared" si="3"/>
        <v>227357.64727902788</v>
      </c>
      <c r="L49" s="7">
        <f>+References!$B$1-Table1[[#This Row],[INTEREST ]]</f>
        <v>441.41697366065398</v>
      </c>
      <c r="M49" s="5">
        <f>+Inputs!$B$11</f>
        <v>100</v>
      </c>
      <c r="N49" s="7">
        <f>+Table1[[#This Row],[BEGINNING BALANCE ]]*Inputs!$B$4/12</f>
        <v>734.17573600519415</v>
      </c>
      <c r="O49" s="7">
        <f>+SUM(Table1[[#This Row],[PRINCIPAL ]:[INTEREST ]])</f>
        <v>1275.5927096658481</v>
      </c>
      <c r="P49" s="7">
        <f>+Table1[[#This Row],[BEGINNING BALANCE ]]-Table1[[#This Row],[PRINCIPAL ]]-Table1[[#This Row],[EXTRA PAYMENT]]</f>
        <v>226816.23030536724</v>
      </c>
      <c r="Q49" s="5">
        <f>+Table1[[#This Row],[PRINCIPAL ]]+Table1[[#This Row],[EXTRA PAYMENT]]+Q48</f>
        <v>23183.76969463288</v>
      </c>
      <c r="R49" s="7">
        <f>+Table1[[#This Row],[INTEREST ]]+R48</f>
        <v>35493.494949996129</v>
      </c>
    </row>
    <row r="50" spans="1:18" x14ac:dyDescent="0.25">
      <c r="A50">
        <f t="shared" si="11"/>
        <v>47</v>
      </c>
      <c r="B50" s="1">
        <f t="shared" si="12"/>
        <v>42036</v>
      </c>
      <c r="C50" s="6">
        <f t="shared" si="13"/>
        <v>231766.84274606442</v>
      </c>
      <c r="D50" s="7">
        <f>PPMT(Inputs!$B$4/12,A50,Inputs!$B$5*12,-'Amortization Table'!$C$4)</f>
        <v>427.17894663168192</v>
      </c>
      <c r="E50" s="7">
        <f>IPMT(Inputs!$B$4/12,'Amortization Table'!A50,Inputs!$B$5*12,-'Amortization Table'!$C$4)</f>
        <v>748.41376303416621</v>
      </c>
      <c r="F50" s="7">
        <f t="shared" si="0"/>
        <v>1175.5927096658481</v>
      </c>
      <c r="G50" s="6">
        <f t="shared" si="1"/>
        <v>231339.66379943275</v>
      </c>
      <c r="H50" s="5">
        <f>+H49+Table1[[#This Row],[PRINCIPAL]]</f>
        <v>18660.336200567235</v>
      </c>
      <c r="I50" s="7">
        <f>Table1[[#This Row],[INTEREST]]+I49</f>
        <v>36592.521153727634</v>
      </c>
      <c r="J50" s="11"/>
      <c r="K50" s="7">
        <f t="shared" si="3"/>
        <v>226816.23030536724</v>
      </c>
      <c r="L50" s="7">
        <f>+References!$B$1-Table1[[#This Row],[INTEREST ]]</f>
        <v>443.16529930476634</v>
      </c>
      <c r="M50" s="5">
        <f>+Inputs!$B$11</f>
        <v>100</v>
      </c>
      <c r="N50" s="7">
        <f>+Table1[[#This Row],[BEGINNING BALANCE ]]*Inputs!$B$4/12</f>
        <v>732.4274103610818</v>
      </c>
      <c r="O50" s="7">
        <f>+SUM(Table1[[#This Row],[PRINCIPAL ]:[INTEREST ]])</f>
        <v>1275.5927096658481</v>
      </c>
      <c r="P50" s="7">
        <f>+Table1[[#This Row],[BEGINNING BALANCE ]]-Table1[[#This Row],[PRINCIPAL ]]-Table1[[#This Row],[EXTRA PAYMENT]]</f>
        <v>226273.06500606248</v>
      </c>
      <c r="Q50" s="5">
        <f>+Table1[[#This Row],[PRINCIPAL ]]+Table1[[#This Row],[EXTRA PAYMENT]]+Q49</f>
        <v>23726.934993937644</v>
      </c>
      <c r="R50" s="7">
        <f>+Table1[[#This Row],[INTEREST ]]+R49</f>
        <v>36225.92236035721</v>
      </c>
    </row>
    <row r="51" spans="1:18" x14ac:dyDescent="0.25">
      <c r="A51">
        <f t="shared" si="11"/>
        <v>48</v>
      </c>
      <c r="B51" s="1">
        <f t="shared" si="12"/>
        <v>42064</v>
      </c>
      <c r="C51" s="6">
        <f t="shared" si="13"/>
        <v>231339.66379943275</v>
      </c>
      <c r="D51" s="7">
        <f>PPMT(Inputs!$B$4/12,A51,Inputs!$B$5*12,-'Amortization Table'!$C$4)</f>
        <v>428.55837864684668</v>
      </c>
      <c r="E51" s="7">
        <f>IPMT(Inputs!$B$4/12,'Amortization Table'!A51,Inputs!$B$5*12,-'Amortization Table'!$C$4)</f>
        <v>747.03433101900146</v>
      </c>
      <c r="F51" s="7">
        <f t="shared" si="0"/>
        <v>1175.5927096658481</v>
      </c>
      <c r="G51" s="6">
        <f t="shared" si="1"/>
        <v>230911.1054207859</v>
      </c>
      <c r="H51" s="5">
        <f>+H50+Table1[[#This Row],[PRINCIPAL]]</f>
        <v>19088.89457921408</v>
      </c>
      <c r="I51" s="7">
        <f>Table1[[#This Row],[INTEREST]]+I50</f>
        <v>37339.555484746634</v>
      </c>
      <c r="J51" s="11"/>
      <c r="K51" s="7">
        <f t="shared" si="3"/>
        <v>226273.06500606248</v>
      </c>
      <c r="L51" s="7">
        <f>+References!$B$1-Table1[[#This Row],[INTEREST ]]</f>
        <v>444.91927058377144</v>
      </c>
      <c r="M51" s="5">
        <f>+Inputs!$B$11</f>
        <v>100</v>
      </c>
      <c r="N51" s="7">
        <f>+Table1[[#This Row],[BEGINNING BALANCE ]]*Inputs!$B$4/12</f>
        <v>730.6734390820767</v>
      </c>
      <c r="O51" s="7">
        <f>+SUM(Table1[[#This Row],[PRINCIPAL ]:[INTEREST ]])</f>
        <v>1275.5927096658481</v>
      </c>
      <c r="P51" s="7">
        <f>+Table1[[#This Row],[BEGINNING BALANCE ]]-Table1[[#This Row],[PRINCIPAL ]]-Table1[[#This Row],[EXTRA PAYMENT]]</f>
        <v>225728.1457354787</v>
      </c>
      <c r="Q51" s="5">
        <f>+Table1[[#This Row],[PRINCIPAL ]]+Table1[[#This Row],[EXTRA PAYMENT]]+Q50</f>
        <v>24271.854264521415</v>
      </c>
      <c r="R51" s="7">
        <f>+Table1[[#This Row],[INTEREST ]]+R50</f>
        <v>36956.595799439288</v>
      </c>
    </row>
    <row r="52" spans="1:18" x14ac:dyDescent="0.25">
      <c r="A52">
        <f t="shared" si="11"/>
        <v>49</v>
      </c>
      <c r="B52" s="1">
        <f t="shared" si="12"/>
        <v>42095</v>
      </c>
      <c r="C52" s="6">
        <f t="shared" si="13"/>
        <v>230911.1054207859</v>
      </c>
      <c r="D52" s="7">
        <f>PPMT(Inputs!$B$4/12,A52,Inputs!$B$5*12,-'Amortization Table'!$C$4)</f>
        <v>429.94226507789386</v>
      </c>
      <c r="E52" s="7">
        <f>IPMT(Inputs!$B$4/12,'Amortization Table'!A52,Inputs!$B$5*12,-'Amortization Table'!$C$4)</f>
        <v>745.65044458795433</v>
      </c>
      <c r="F52" s="7">
        <f t="shared" si="0"/>
        <v>1175.5927096658481</v>
      </c>
      <c r="G52" s="6">
        <f t="shared" si="1"/>
        <v>230481.163155708</v>
      </c>
      <c r="H52" s="5">
        <f>+H51+Table1[[#This Row],[PRINCIPAL]]</f>
        <v>19518.836844291975</v>
      </c>
      <c r="I52" s="7">
        <f>Table1[[#This Row],[INTEREST]]+I51</f>
        <v>38085.205929334588</v>
      </c>
      <c r="J52" s="11"/>
      <c r="K52" s="7">
        <f t="shared" si="3"/>
        <v>225728.1457354787</v>
      </c>
      <c r="L52" s="7">
        <f>+References!$B$1-Table1[[#This Row],[INTEREST ]]</f>
        <v>446.67890572836484</v>
      </c>
      <c r="M52" s="5">
        <f>+Inputs!$B$11</f>
        <v>100</v>
      </c>
      <c r="N52" s="7">
        <f>+Table1[[#This Row],[BEGINNING BALANCE ]]*Inputs!$B$4/12</f>
        <v>728.91380393748329</v>
      </c>
      <c r="O52" s="7">
        <f>+SUM(Table1[[#This Row],[PRINCIPAL ]:[INTEREST ]])</f>
        <v>1275.5927096658481</v>
      </c>
      <c r="P52" s="7">
        <f>+Table1[[#This Row],[BEGINNING BALANCE ]]-Table1[[#This Row],[PRINCIPAL ]]-Table1[[#This Row],[EXTRA PAYMENT]]</f>
        <v>225181.46682975034</v>
      </c>
      <c r="Q52" s="5">
        <f>+Table1[[#This Row],[PRINCIPAL ]]+Table1[[#This Row],[EXTRA PAYMENT]]+Q51</f>
        <v>24818.533170249779</v>
      </c>
      <c r="R52" s="7">
        <f>+Table1[[#This Row],[INTEREST ]]+R51</f>
        <v>37685.50960337677</v>
      </c>
    </row>
    <row r="53" spans="1:18" x14ac:dyDescent="0.25">
      <c r="A53">
        <f t="shared" si="11"/>
        <v>50</v>
      </c>
      <c r="B53" s="1">
        <f t="shared" si="12"/>
        <v>42125</v>
      </c>
      <c r="C53" s="6">
        <f t="shared" si="13"/>
        <v>230481.163155708</v>
      </c>
      <c r="D53" s="7">
        <f>PPMT(Inputs!$B$4/12,A53,Inputs!$B$5*12,-'Amortization Table'!$C$4)</f>
        <v>431.33062030887459</v>
      </c>
      <c r="E53" s="7">
        <f>IPMT(Inputs!$B$4/12,'Amortization Table'!A53,Inputs!$B$5*12,-'Amortization Table'!$C$4)</f>
        <v>744.26208935697366</v>
      </c>
      <c r="F53" s="7">
        <f t="shared" si="0"/>
        <v>1175.5927096658484</v>
      </c>
      <c r="G53" s="6">
        <f t="shared" si="1"/>
        <v>230049.83253539912</v>
      </c>
      <c r="H53" s="5">
        <f>+H52+Table1[[#This Row],[PRINCIPAL]]</f>
        <v>19950.167464600851</v>
      </c>
      <c r="I53" s="7">
        <f>Table1[[#This Row],[INTEREST]]+I52</f>
        <v>38829.468018691565</v>
      </c>
      <c r="J53" s="11"/>
      <c r="K53" s="7">
        <f t="shared" si="3"/>
        <v>225181.46682975034</v>
      </c>
      <c r="L53" s="7">
        <f>+References!$B$1-Table1[[#This Row],[INTEREST ]]</f>
        <v>448.44422302811267</v>
      </c>
      <c r="M53" s="5">
        <f>+Inputs!$B$11</f>
        <v>100</v>
      </c>
      <c r="N53" s="7">
        <f>+Table1[[#This Row],[BEGINNING BALANCE ]]*Inputs!$B$4/12</f>
        <v>727.14848663773546</v>
      </c>
      <c r="O53" s="7">
        <f>+SUM(Table1[[#This Row],[PRINCIPAL ]:[INTEREST ]])</f>
        <v>1275.5927096658481</v>
      </c>
      <c r="P53" s="7">
        <f>+Table1[[#This Row],[BEGINNING BALANCE ]]-Table1[[#This Row],[PRINCIPAL ]]-Table1[[#This Row],[EXTRA PAYMENT]]</f>
        <v>224633.02260672222</v>
      </c>
      <c r="Q53" s="5">
        <f>+Table1[[#This Row],[PRINCIPAL ]]+Table1[[#This Row],[EXTRA PAYMENT]]+Q52</f>
        <v>25366.977393277892</v>
      </c>
      <c r="R53" s="7">
        <f>+Table1[[#This Row],[INTEREST ]]+R52</f>
        <v>38412.658090014505</v>
      </c>
    </row>
    <row r="54" spans="1:18" x14ac:dyDescent="0.25">
      <c r="A54">
        <f t="shared" si="11"/>
        <v>51</v>
      </c>
      <c r="B54" s="1">
        <f t="shared" si="12"/>
        <v>42156</v>
      </c>
      <c r="C54" s="6">
        <f t="shared" si="13"/>
        <v>230049.83253539912</v>
      </c>
      <c r="D54" s="7">
        <f>PPMT(Inputs!$B$4/12,A54,Inputs!$B$5*12,-'Amortization Table'!$C$4)</f>
        <v>432.72345877028857</v>
      </c>
      <c r="E54" s="7">
        <f>IPMT(Inputs!$B$4/12,'Amortization Table'!A54,Inputs!$B$5*12,-'Amortization Table'!$C$4)</f>
        <v>742.86925089555962</v>
      </c>
      <c r="F54" s="7">
        <f t="shared" si="0"/>
        <v>1175.5927096658481</v>
      </c>
      <c r="G54" s="6">
        <f t="shared" si="1"/>
        <v>229617.10907662884</v>
      </c>
      <c r="H54" s="5">
        <f>+H53+Table1[[#This Row],[PRINCIPAL]]</f>
        <v>20382.890923371138</v>
      </c>
      <c r="I54" s="7">
        <f>Table1[[#This Row],[INTEREST]]+I53</f>
        <v>39572.337269587122</v>
      </c>
      <c r="J54" s="11"/>
      <c r="K54" s="7">
        <f t="shared" si="3"/>
        <v>224633.02260672222</v>
      </c>
      <c r="L54" s="7">
        <f>+References!$B$1-Table1[[#This Row],[INTEREST ]]</f>
        <v>450.21524083164093</v>
      </c>
      <c r="M54" s="5">
        <f>+Inputs!$B$11</f>
        <v>100</v>
      </c>
      <c r="N54" s="7">
        <f>+Table1[[#This Row],[BEGINNING BALANCE ]]*Inputs!$B$4/12</f>
        <v>725.37746883420721</v>
      </c>
      <c r="O54" s="7">
        <f>+SUM(Table1[[#This Row],[PRINCIPAL ]:[INTEREST ]])</f>
        <v>1275.5927096658481</v>
      </c>
      <c r="P54" s="7">
        <f>+Table1[[#This Row],[BEGINNING BALANCE ]]-Table1[[#This Row],[PRINCIPAL ]]-Table1[[#This Row],[EXTRA PAYMENT]]</f>
        <v>224082.80736589059</v>
      </c>
      <c r="Q54" s="5">
        <f>+Table1[[#This Row],[PRINCIPAL ]]+Table1[[#This Row],[EXTRA PAYMENT]]+Q53</f>
        <v>25917.192634109531</v>
      </c>
      <c r="R54" s="7">
        <f>+Table1[[#This Row],[INTEREST ]]+R53</f>
        <v>39138.035558848715</v>
      </c>
    </row>
    <row r="55" spans="1:18" x14ac:dyDescent="0.25">
      <c r="A55">
        <f t="shared" si="11"/>
        <v>52</v>
      </c>
      <c r="B55" s="1">
        <f t="shared" si="12"/>
        <v>42186</v>
      </c>
      <c r="C55" s="6">
        <f t="shared" si="13"/>
        <v>229617.10907662884</v>
      </c>
      <c r="D55" s="7">
        <f>PPMT(Inputs!$B$4/12,A55,Inputs!$B$5*12,-'Amortization Table'!$C$4)</f>
        <v>434.12079493923426</v>
      </c>
      <c r="E55" s="7">
        <f>IPMT(Inputs!$B$4/12,'Amortization Table'!A55,Inputs!$B$5*12,-'Amortization Table'!$C$4)</f>
        <v>741.47191472661382</v>
      </c>
      <c r="F55" s="7">
        <f t="shared" si="0"/>
        <v>1175.5927096658481</v>
      </c>
      <c r="G55" s="6">
        <f t="shared" si="1"/>
        <v>229182.98828168961</v>
      </c>
      <c r="H55" s="5">
        <f>+H54+Table1[[#This Row],[PRINCIPAL]]</f>
        <v>20817.011718310372</v>
      </c>
      <c r="I55" s="7">
        <f>Table1[[#This Row],[INTEREST]]+I54</f>
        <v>40313.809184313737</v>
      </c>
      <c r="J55" s="11"/>
      <c r="K55" s="7">
        <f t="shared" si="3"/>
        <v>224082.80736589059</v>
      </c>
      <c r="L55" s="7">
        <f>+References!$B$1-Table1[[#This Row],[INTEREST ]]</f>
        <v>451.99197754682643</v>
      </c>
      <c r="M55" s="5">
        <f>+Inputs!$B$11</f>
        <v>100</v>
      </c>
      <c r="N55" s="7">
        <f>+Table1[[#This Row],[BEGINNING BALANCE ]]*Inputs!$B$4/12</f>
        <v>723.6007321190217</v>
      </c>
      <c r="O55" s="7">
        <f>+SUM(Table1[[#This Row],[PRINCIPAL ]:[INTEREST ]])</f>
        <v>1275.5927096658481</v>
      </c>
      <c r="P55" s="7">
        <f>+Table1[[#This Row],[BEGINNING BALANCE ]]-Table1[[#This Row],[PRINCIPAL ]]-Table1[[#This Row],[EXTRA PAYMENT]]</f>
        <v>223530.81538834376</v>
      </c>
      <c r="Q55" s="5">
        <f>+Table1[[#This Row],[PRINCIPAL ]]+Table1[[#This Row],[EXTRA PAYMENT]]+Q54</f>
        <v>26469.184611656357</v>
      </c>
      <c r="R55" s="7">
        <f>+Table1[[#This Row],[INTEREST ]]+R54</f>
        <v>39861.636290967734</v>
      </c>
    </row>
    <row r="56" spans="1:18" x14ac:dyDescent="0.25">
      <c r="A56">
        <f t="shared" si="11"/>
        <v>53</v>
      </c>
      <c r="B56" s="1">
        <f t="shared" si="12"/>
        <v>42217</v>
      </c>
      <c r="C56" s="6">
        <f t="shared" si="13"/>
        <v>229182.98828168961</v>
      </c>
      <c r="D56" s="7">
        <f>PPMT(Inputs!$B$4/12,A56,Inputs!$B$5*12,-'Amortization Table'!$C$4)</f>
        <v>435.52264333955895</v>
      </c>
      <c r="E56" s="7">
        <f>IPMT(Inputs!$B$4/12,'Amortization Table'!A56,Inputs!$B$5*12,-'Amortization Table'!$C$4)</f>
        <v>740.07006632628918</v>
      </c>
      <c r="F56" s="7">
        <f t="shared" si="0"/>
        <v>1175.5927096658481</v>
      </c>
      <c r="G56" s="6">
        <f t="shared" si="1"/>
        <v>228747.46563835006</v>
      </c>
      <c r="H56" s="5">
        <f>+H55+Table1[[#This Row],[PRINCIPAL]]</f>
        <v>21252.53436164993</v>
      </c>
      <c r="I56" s="7">
        <f>Table1[[#This Row],[INTEREST]]+I55</f>
        <v>41053.879250640028</v>
      </c>
      <c r="J56" s="11"/>
      <c r="K56" s="7">
        <f t="shared" si="3"/>
        <v>223530.81538834376</v>
      </c>
      <c r="L56" s="7">
        <f>+References!$B$1-Table1[[#This Row],[INTEREST ]]</f>
        <v>453.7744516409881</v>
      </c>
      <c r="M56" s="5">
        <f>+Inputs!$B$11</f>
        <v>100</v>
      </c>
      <c r="N56" s="7">
        <f>+Table1[[#This Row],[BEGINNING BALANCE ]]*Inputs!$B$4/12</f>
        <v>721.81825802486003</v>
      </c>
      <c r="O56" s="7">
        <f>+SUM(Table1[[#This Row],[PRINCIPAL ]:[INTEREST ]])</f>
        <v>1275.5927096658481</v>
      </c>
      <c r="P56" s="7">
        <f>+Table1[[#This Row],[BEGINNING BALANCE ]]-Table1[[#This Row],[PRINCIPAL ]]-Table1[[#This Row],[EXTRA PAYMENT]]</f>
        <v>222977.04093670278</v>
      </c>
      <c r="Q56" s="5">
        <f>+Table1[[#This Row],[PRINCIPAL ]]+Table1[[#This Row],[EXTRA PAYMENT]]+Q55</f>
        <v>27022.959063297345</v>
      </c>
      <c r="R56" s="7">
        <f>+Table1[[#This Row],[INTEREST ]]+R55</f>
        <v>40583.454548992595</v>
      </c>
    </row>
    <row r="57" spans="1:18" x14ac:dyDescent="0.25">
      <c r="A57">
        <f t="shared" si="11"/>
        <v>54</v>
      </c>
      <c r="B57" s="1">
        <f t="shared" si="12"/>
        <v>42248</v>
      </c>
      <c r="C57" s="6">
        <f t="shared" si="13"/>
        <v>228747.46563835006</v>
      </c>
      <c r="D57" s="7">
        <f>PPMT(Inputs!$B$4/12,A57,Inputs!$B$5*12,-'Amortization Table'!$C$4)</f>
        <v>436.92901854200954</v>
      </c>
      <c r="E57" s="7">
        <f>IPMT(Inputs!$B$4/12,'Amortization Table'!A57,Inputs!$B$5*12,-'Amortization Table'!$C$4)</f>
        <v>738.66369112383848</v>
      </c>
      <c r="F57" s="7">
        <f t="shared" si="0"/>
        <v>1175.5927096658479</v>
      </c>
      <c r="G57" s="6">
        <f t="shared" si="1"/>
        <v>228310.53661980806</v>
      </c>
      <c r="H57" s="5">
        <f>+H56+Table1[[#This Row],[PRINCIPAL]]</f>
        <v>21689.463380191941</v>
      </c>
      <c r="I57" s="7">
        <f>Table1[[#This Row],[INTEREST]]+I56</f>
        <v>41792.542941763866</v>
      </c>
      <c r="J57" s="11"/>
      <c r="K57" s="7">
        <f t="shared" si="3"/>
        <v>222977.04093670278</v>
      </c>
      <c r="L57" s="7">
        <f>+References!$B$1-Table1[[#This Row],[INTEREST ]]</f>
        <v>455.56268164107883</v>
      </c>
      <c r="M57" s="5">
        <f>+Inputs!$B$11</f>
        <v>100</v>
      </c>
      <c r="N57" s="7">
        <f>+Table1[[#This Row],[BEGINNING BALANCE ]]*Inputs!$B$4/12</f>
        <v>720.03002802476931</v>
      </c>
      <c r="O57" s="7">
        <f>+SUM(Table1[[#This Row],[PRINCIPAL ]:[INTEREST ]])</f>
        <v>1275.5927096658481</v>
      </c>
      <c r="P57" s="7">
        <f>+Table1[[#This Row],[BEGINNING BALANCE ]]-Table1[[#This Row],[PRINCIPAL ]]-Table1[[#This Row],[EXTRA PAYMENT]]</f>
        <v>222421.47825506169</v>
      </c>
      <c r="Q57" s="5">
        <f>+Table1[[#This Row],[PRINCIPAL ]]+Table1[[#This Row],[EXTRA PAYMENT]]+Q56</f>
        <v>27578.521744938425</v>
      </c>
      <c r="R57" s="7">
        <f>+Table1[[#This Row],[INTEREST ]]+R56</f>
        <v>41303.484577017363</v>
      </c>
    </row>
    <row r="58" spans="1:18" x14ac:dyDescent="0.25">
      <c r="A58">
        <f t="shared" si="11"/>
        <v>55</v>
      </c>
      <c r="B58" s="1">
        <f t="shared" si="12"/>
        <v>42278</v>
      </c>
      <c r="C58" s="6">
        <f t="shared" si="13"/>
        <v>228310.53661980806</v>
      </c>
      <c r="D58" s="7">
        <f>PPMT(Inputs!$B$4/12,A58,Inputs!$B$5*12,-'Amortization Table'!$C$4)</f>
        <v>438.33993516438483</v>
      </c>
      <c r="E58" s="7">
        <f>IPMT(Inputs!$B$4/12,'Amortization Table'!A58,Inputs!$B$5*12,-'Amortization Table'!$C$4)</f>
        <v>737.25277450146336</v>
      </c>
      <c r="F58" s="7">
        <f t="shared" si="0"/>
        <v>1175.5927096658481</v>
      </c>
      <c r="G58" s="6">
        <f t="shared" si="1"/>
        <v>227872.19668464368</v>
      </c>
      <c r="H58" s="5">
        <f>+H57+Table1[[#This Row],[PRINCIPAL]]</f>
        <v>22127.803315356326</v>
      </c>
      <c r="I58" s="7">
        <f>Table1[[#This Row],[INTEREST]]+I57</f>
        <v>42529.795716265333</v>
      </c>
      <c r="J58" s="11"/>
      <c r="K58" s="7">
        <f t="shared" si="3"/>
        <v>222421.47825506169</v>
      </c>
      <c r="L58" s="7">
        <f>+References!$B$1-Table1[[#This Row],[INTEREST ]]</f>
        <v>457.35668613387804</v>
      </c>
      <c r="M58" s="5">
        <f>+Inputs!$B$11</f>
        <v>100</v>
      </c>
      <c r="N58" s="7">
        <f>+Table1[[#This Row],[BEGINNING BALANCE ]]*Inputs!$B$4/12</f>
        <v>718.23602353197009</v>
      </c>
      <c r="O58" s="7">
        <f>+SUM(Table1[[#This Row],[PRINCIPAL ]:[INTEREST ]])</f>
        <v>1275.5927096658481</v>
      </c>
      <c r="P58" s="7">
        <f>+Table1[[#This Row],[BEGINNING BALANCE ]]-Table1[[#This Row],[PRINCIPAL ]]-Table1[[#This Row],[EXTRA PAYMENT]]</f>
        <v>221864.1215689278</v>
      </c>
      <c r="Q58" s="5">
        <f>+Table1[[#This Row],[PRINCIPAL ]]+Table1[[#This Row],[EXTRA PAYMENT]]+Q57</f>
        <v>28135.878431072302</v>
      </c>
      <c r="R58" s="7">
        <f>+Table1[[#This Row],[INTEREST ]]+R57</f>
        <v>42021.720600549335</v>
      </c>
    </row>
    <row r="59" spans="1:18" x14ac:dyDescent="0.25">
      <c r="A59">
        <f t="shared" si="11"/>
        <v>56</v>
      </c>
      <c r="B59" s="1">
        <f t="shared" si="12"/>
        <v>42309</v>
      </c>
      <c r="C59" s="6">
        <f t="shared" si="13"/>
        <v>227872.19668464368</v>
      </c>
      <c r="D59" s="7">
        <f>PPMT(Inputs!$B$4/12,A59,Inputs!$B$5*12,-'Amortization Table'!$C$4)</f>
        <v>439.75540787168643</v>
      </c>
      <c r="E59" s="7">
        <f>IPMT(Inputs!$B$4/12,'Amortization Table'!A59,Inputs!$B$5*12,-'Amortization Table'!$C$4)</f>
        <v>735.83730179416159</v>
      </c>
      <c r="F59" s="7">
        <f t="shared" si="0"/>
        <v>1175.5927096658479</v>
      </c>
      <c r="G59" s="6">
        <f t="shared" si="1"/>
        <v>227432.44127677201</v>
      </c>
      <c r="H59" s="5">
        <f>+H58+Table1[[#This Row],[PRINCIPAL]]</f>
        <v>22567.558723228012</v>
      </c>
      <c r="I59" s="7">
        <f>Table1[[#This Row],[INTEREST]]+I58</f>
        <v>43265.633018059496</v>
      </c>
      <c r="J59" s="11"/>
      <c r="K59" s="7">
        <f t="shared" si="3"/>
        <v>221864.1215689278</v>
      </c>
      <c r="L59" s="7">
        <f>+References!$B$1-Table1[[#This Row],[INTEREST ]]</f>
        <v>459.15648376618549</v>
      </c>
      <c r="M59" s="5">
        <f>+Inputs!$B$11</f>
        <v>100</v>
      </c>
      <c r="N59" s="7">
        <f>+Table1[[#This Row],[BEGINNING BALANCE ]]*Inputs!$B$4/12</f>
        <v>716.43622589966265</v>
      </c>
      <c r="O59" s="7">
        <f>+SUM(Table1[[#This Row],[PRINCIPAL ]:[INTEREST ]])</f>
        <v>1275.5927096658481</v>
      </c>
      <c r="P59" s="7">
        <f>+Table1[[#This Row],[BEGINNING BALANCE ]]-Table1[[#This Row],[PRINCIPAL ]]-Table1[[#This Row],[EXTRA PAYMENT]]</f>
        <v>221304.96508516162</v>
      </c>
      <c r="Q59" s="5">
        <f>+Table1[[#This Row],[PRINCIPAL ]]+Table1[[#This Row],[EXTRA PAYMENT]]+Q58</f>
        <v>28695.034914838488</v>
      </c>
      <c r="R59" s="7">
        <f>+Table1[[#This Row],[INTEREST ]]+R58</f>
        <v>42738.156826448998</v>
      </c>
    </row>
    <row r="60" spans="1:18" x14ac:dyDescent="0.25">
      <c r="A60">
        <f t="shared" si="11"/>
        <v>57</v>
      </c>
      <c r="B60" s="1">
        <f t="shared" si="12"/>
        <v>42339</v>
      </c>
      <c r="C60" s="6">
        <f t="shared" si="13"/>
        <v>227432.44127677201</v>
      </c>
      <c r="D60" s="7">
        <f>PPMT(Inputs!$B$4/12,A60,Inputs!$B$5*12,-'Amortization Table'!$C$4)</f>
        <v>441.17545137627218</v>
      </c>
      <c r="E60" s="7">
        <f>IPMT(Inputs!$B$4/12,'Amortization Table'!A60,Inputs!$B$5*12,-'Amortization Table'!$C$4)</f>
        <v>734.41725828957601</v>
      </c>
      <c r="F60" s="7">
        <f t="shared" si="0"/>
        <v>1175.5927096658481</v>
      </c>
      <c r="G60" s="6">
        <f t="shared" si="1"/>
        <v>226991.26582539573</v>
      </c>
      <c r="H60" s="5">
        <f>+H59+Table1[[#This Row],[PRINCIPAL]]</f>
        <v>23008.734174604284</v>
      </c>
      <c r="I60" s="7">
        <f>Table1[[#This Row],[INTEREST]]+I59</f>
        <v>44000.050276349073</v>
      </c>
      <c r="J60" s="11"/>
      <c r="K60" s="7">
        <f t="shared" si="3"/>
        <v>221304.96508516162</v>
      </c>
      <c r="L60" s="7">
        <f>+References!$B$1-Table1[[#This Row],[INTEREST ]]</f>
        <v>460.96209324501376</v>
      </c>
      <c r="M60" s="5">
        <f>+Inputs!$B$11</f>
        <v>100</v>
      </c>
      <c r="N60" s="7">
        <f>+Table1[[#This Row],[BEGINNING BALANCE ]]*Inputs!$B$4/12</f>
        <v>714.63061642083437</v>
      </c>
      <c r="O60" s="7">
        <f>+SUM(Table1[[#This Row],[PRINCIPAL ]:[INTEREST ]])</f>
        <v>1275.5927096658481</v>
      </c>
      <c r="P60" s="7">
        <f>+Table1[[#This Row],[BEGINNING BALANCE ]]-Table1[[#This Row],[PRINCIPAL ]]-Table1[[#This Row],[EXTRA PAYMENT]]</f>
        <v>220744.00299191661</v>
      </c>
      <c r="Q60" s="5">
        <f>+Table1[[#This Row],[PRINCIPAL ]]+Table1[[#This Row],[EXTRA PAYMENT]]+Q59</f>
        <v>29255.997008083501</v>
      </c>
      <c r="R60" s="7">
        <f>+Table1[[#This Row],[INTEREST ]]+R59</f>
        <v>43452.787442869834</v>
      </c>
    </row>
    <row r="61" spans="1:18" x14ac:dyDescent="0.25">
      <c r="A61">
        <f t="shared" si="11"/>
        <v>58</v>
      </c>
      <c r="B61" s="1">
        <f t="shared" si="12"/>
        <v>42370</v>
      </c>
      <c r="C61" s="6">
        <f t="shared" si="13"/>
        <v>226991.26582539573</v>
      </c>
      <c r="D61" s="7">
        <f>PPMT(Inputs!$B$4/12,A61,Inputs!$B$5*12,-'Amortization Table'!$C$4)</f>
        <v>442.60008043800792</v>
      </c>
      <c r="E61" s="7">
        <f>IPMT(Inputs!$B$4/12,'Amortization Table'!A61,Inputs!$B$5*12,-'Amortization Table'!$C$4)</f>
        <v>732.99262922784033</v>
      </c>
      <c r="F61" s="7">
        <f t="shared" si="0"/>
        <v>1175.5927096658484</v>
      </c>
      <c r="G61" s="6">
        <f t="shared" si="1"/>
        <v>226548.66574495772</v>
      </c>
      <c r="H61" s="5">
        <f>+H60+Table1[[#This Row],[PRINCIPAL]]</f>
        <v>23451.334255042293</v>
      </c>
      <c r="I61" s="7">
        <f>Table1[[#This Row],[INTEREST]]+I60</f>
        <v>44733.042905576913</v>
      </c>
      <c r="J61" s="11"/>
      <c r="K61" s="7">
        <f t="shared" si="3"/>
        <v>220744.00299191661</v>
      </c>
      <c r="L61" s="7">
        <f>+References!$B$1-Table1[[#This Row],[INTEREST ]]</f>
        <v>462.77353333778399</v>
      </c>
      <c r="M61" s="5">
        <f>+Inputs!$B$11</f>
        <v>100</v>
      </c>
      <c r="N61" s="7">
        <f>+Table1[[#This Row],[BEGINNING BALANCE ]]*Inputs!$B$4/12</f>
        <v>712.81917632806415</v>
      </c>
      <c r="O61" s="7">
        <f>+SUM(Table1[[#This Row],[PRINCIPAL ]:[INTEREST ]])</f>
        <v>1275.5927096658481</v>
      </c>
      <c r="P61" s="7">
        <f>+Table1[[#This Row],[BEGINNING BALANCE ]]-Table1[[#This Row],[PRINCIPAL ]]-Table1[[#This Row],[EXTRA PAYMENT]]</f>
        <v>220181.22945857883</v>
      </c>
      <c r="Q61" s="5">
        <f>+Table1[[#This Row],[PRINCIPAL ]]+Table1[[#This Row],[EXTRA PAYMENT]]+Q60</f>
        <v>29818.770541421283</v>
      </c>
      <c r="R61" s="7">
        <f>+Table1[[#This Row],[INTEREST ]]+R60</f>
        <v>44165.606619197897</v>
      </c>
    </row>
    <row r="62" spans="1:18" x14ac:dyDescent="0.25">
      <c r="A62">
        <f t="shared" si="11"/>
        <v>59</v>
      </c>
      <c r="B62" s="1">
        <f t="shared" si="12"/>
        <v>42401</v>
      </c>
      <c r="C62" s="6">
        <f t="shared" si="13"/>
        <v>226548.66574495772</v>
      </c>
      <c r="D62" s="7">
        <f>PPMT(Inputs!$B$4/12,A62,Inputs!$B$5*12,-'Amortization Table'!$C$4)</f>
        <v>444.02930986442237</v>
      </c>
      <c r="E62" s="7">
        <f>IPMT(Inputs!$B$4/12,'Amortization Table'!A62,Inputs!$B$5*12,-'Amortization Table'!$C$4)</f>
        <v>731.56339980142582</v>
      </c>
      <c r="F62" s="7">
        <f t="shared" si="0"/>
        <v>1175.5927096658481</v>
      </c>
      <c r="G62" s="6">
        <f t="shared" si="1"/>
        <v>226104.6364350933</v>
      </c>
      <c r="H62" s="5">
        <f>+H61+Table1[[#This Row],[PRINCIPAL]]</f>
        <v>23895.363564906715</v>
      </c>
      <c r="I62" s="7">
        <f>Table1[[#This Row],[INTEREST]]+I61</f>
        <v>45464.606305378336</v>
      </c>
      <c r="J62" s="11"/>
      <c r="K62" s="7">
        <f t="shared" si="3"/>
        <v>220181.22945857883</v>
      </c>
      <c r="L62" s="7">
        <f>+References!$B$1-Table1[[#This Row],[INTEREST ]]</f>
        <v>464.59082287252056</v>
      </c>
      <c r="M62" s="5">
        <f>+Inputs!$B$11</f>
        <v>100</v>
      </c>
      <c r="N62" s="7">
        <f>+Table1[[#This Row],[BEGINNING BALANCE ]]*Inputs!$B$4/12</f>
        <v>711.00188679332757</v>
      </c>
      <c r="O62" s="7">
        <f>+SUM(Table1[[#This Row],[PRINCIPAL ]:[INTEREST ]])</f>
        <v>1275.5927096658481</v>
      </c>
      <c r="P62" s="7">
        <f>+Table1[[#This Row],[BEGINNING BALANCE ]]-Table1[[#This Row],[PRINCIPAL ]]-Table1[[#This Row],[EXTRA PAYMENT]]</f>
        <v>219616.6386357063</v>
      </c>
      <c r="Q62" s="5">
        <f>+Table1[[#This Row],[PRINCIPAL ]]+Table1[[#This Row],[EXTRA PAYMENT]]+Q61</f>
        <v>30383.361364293803</v>
      </c>
      <c r="R62" s="7">
        <f>+Table1[[#This Row],[INTEREST ]]+R61</f>
        <v>44876.608505991222</v>
      </c>
    </row>
    <row r="63" spans="1:18" x14ac:dyDescent="0.25">
      <c r="A63">
        <f t="shared" si="11"/>
        <v>60</v>
      </c>
      <c r="B63" s="1">
        <f t="shared" si="12"/>
        <v>42430</v>
      </c>
      <c r="C63" s="6">
        <f t="shared" si="13"/>
        <v>226104.6364350933</v>
      </c>
      <c r="D63" s="7">
        <f>PPMT(Inputs!$B$4/12,A63,Inputs!$B$5*12,-'Amortization Table'!$C$4)</f>
        <v>445.46315451085957</v>
      </c>
      <c r="E63" s="7">
        <f>IPMT(Inputs!$B$4/12,'Amortization Table'!A63,Inputs!$B$5*12,-'Amortization Table'!$C$4)</f>
        <v>730.12955515498857</v>
      </c>
      <c r="F63" s="7">
        <f t="shared" si="0"/>
        <v>1175.5927096658481</v>
      </c>
      <c r="G63" s="6">
        <f t="shared" si="1"/>
        <v>225659.17328058244</v>
      </c>
      <c r="H63" s="5">
        <f>+H62+Table1[[#This Row],[PRINCIPAL]]</f>
        <v>24340.826719417575</v>
      </c>
      <c r="I63" s="7">
        <f>Table1[[#This Row],[INTEREST]]+I62</f>
        <v>46194.735860533328</v>
      </c>
      <c r="J63" s="11"/>
      <c r="K63" s="7">
        <f t="shared" si="3"/>
        <v>219616.6386357063</v>
      </c>
      <c r="L63" s="7">
        <f>+References!$B$1-Table1[[#This Row],[INTEREST ]]</f>
        <v>466.41398073804646</v>
      </c>
      <c r="M63" s="5">
        <f>+Inputs!$B$11</f>
        <v>100</v>
      </c>
      <c r="N63" s="7">
        <f>+Table1[[#This Row],[BEGINNING BALANCE ]]*Inputs!$B$4/12</f>
        <v>709.17872892780167</v>
      </c>
      <c r="O63" s="7">
        <f>+SUM(Table1[[#This Row],[PRINCIPAL ]:[INTEREST ]])</f>
        <v>1275.5927096658481</v>
      </c>
      <c r="P63" s="7">
        <f>+Table1[[#This Row],[BEGINNING BALANCE ]]-Table1[[#This Row],[PRINCIPAL ]]-Table1[[#This Row],[EXTRA PAYMENT]]</f>
        <v>219050.22465496825</v>
      </c>
      <c r="Q63" s="5">
        <f>+Table1[[#This Row],[PRINCIPAL ]]+Table1[[#This Row],[EXTRA PAYMENT]]+Q62</f>
        <v>30949.775345031849</v>
      </c>
      <c r="R63" s="7">
        <f>+Table1[[#This Row],[INTEREST ]]+R62</f>
        <v>45585.787234919022</v>
      </c>
    </row>
    <row r="64" spans="1:18" x14ac:dyDescent="0.25">
      <c r="A64">
        <f t="shared" si="11"/>
        <v>61</v>
      </c>
      <c r="B64" s="1">
        <f t="shared" si="12"/>
        <v>42461</v>
      </c>
      <c r="C64" s="6">
        <f t="shared" si="13"/>
        <v>225659.17328058244</v>
      </c>
      <c r="D64" s="7">
        <f>PPMT(Inputs!$B$4/12,A64,Inputs!$B$5*12,-'Amortization Table'!$C$4)</f>
        <v>446.90162928063421</v>
      </c>
      <c r="E64" s="7">
        <f>IPMT(Inputs!$B$4/12,'Amortization Table'!A64,Inputs!$B$5*12,-'Amortization Table'!$C$4)</f>
        <v>728.69108038521381</v>
      </c>
      <c r="F64" s="7">
        <f t="shared" si="0"/>
        <v>1175.5927096658479</v>
      </c>
      <c r="G64" s="6">
        <f t="shared" si="1"/>
        <v>225212.27165130179</v>
      </c>
      <c r="H64" s="5">
        <f>+H63+Table1[[#This Row],[PRINCIPAL]]</f>
        <v>24787.728348698209</v>
      </c>
      <c r="I64" s="7">
        <f>Table1[[#This Row],[INTEREST]]+I63</f>
        <v>46923.426940918544</v>
      </c>
      <c r="J64" s="11"/>
      <c r="K64" s="7">
        <f t="shared" si="3"/>
        <v>219050.22465496825</v>
      </c>
      <c r="L64" s="7">
        <f>+References!$B$1-Table1[[#This Row],[INTEREST ]]</f>
        <v>468.24302588417981</v>
      </c>
      <c r="M64" s="5">
        <f>+Inputs!$B$11</f>
        <v>100</v>
      </c>
      <c r="N64" s="7">
        <f>+Table1[[#This Row],[BEGINNING BALANCE ]]*Inputs!$B$4/12</f>
        <v>707.34968378166832</v>
      </c>
      <c r="O64" s="7">
        <f>+SUM(Table1[[#This Row],[PRINCIPAL ]:[INTEREST ]])</f>
        <v>1275.5927096658481</v>
      </c>
      <c r="P64" s="7">
        <f>+Table1[[#This Row],[BEGINNING BALANCE ]]-Table1[[#This Row],[PRINCIPAL ]]-Table1[[#This Row],[EXTRA PAYMENT]]</f>
        <v>218481.98162908407</v>
      </c>
      <c r="Q64" s="5">
        <f>+Table1[[#This Row],[PRINCIPAL ]]+Table1[[#This Row],[EXTRA PAYMENT]]+Q63</f>
        <v>31518.01837091603</v>
      </c>
      <c r="R64" s="7">
        <f>+Table1[[#This Row],[INTEREST ]]+R63</f>
        <v>46293.136918700693</v>
      </c>
    </row>
    <row r="65" spans="1:18" x14ac:dyDescent="0.25">
      <c r="A65">
        <f t="shared" si="11"/>
        <v>62</v>
      </c>
      <c r="B65" s="1">
        <f t="shared" si="12"/>
        <v>42491</v>
      </c>
      <c r="C65" s="6">
        <f t="shared" si="13"/>
        <v>225212.27165130179</v>
      </c>
      <c r="D65" s="7">
        <f>PPMT(Inputs!$B$4/12,A65,Inputs!$B$5*12,-'Amortization Table'!$C$4)</f>
        <v>448.3447491251863</v>
      </c>
      <c r="E65" s="7">
        <f>IPMT(Inputs!$B$4/12,'Amortization Table'!A65,Inputs!$B$5*12,-'Amortization Table'!$C$4)</f>
        <v>727.24796054066178</v>
      </c>
      <c r="F65" s="7">
        <f t="shared" si="0"/>
        <v>1175.5927096658481</v>
      </c>
      <c r="G65" s="6">
        <f t="shared" si="1"/>
        <v>224763.92690217661</v>
      </c>
      <c r="H65" s="5">
        <f>+H64+Table1[[#This Row],[PRINCIPAL]]</f>
        <v>25236.073097823395</v>
      </c>
      <c r="I65" s="7">
        <f>Table1[[#This Row],[INTEREST]]+I64</f>
        <v>47650.674901459206</v>
      </c>
      <c r="J65" s="11"/>
      <c r="K65" s="7">
        <f t="shared" si="3"/>
        <v>218481.98162908407</v>
      </c>
      <c r="L65" s="7">
        <f>+References!$B$1-Table1[[#This Row],[INTEREST ]]</f>
        <v>470.0779773219308</v>
      </c>
      <c r="M65" s="5">
        <f>+Inputs!$B$11</f>
        <v>100</v>
      </c>
      <c r="N65" s="7">
        <f>+Table1[[#This Row],[BEGINNING BALANCE ]]*Inputs!$B$4/12</f>
        <v>705.51473234391733</v>
      </c>
      <c r="O65" s="7">
        <f>+SUM(Table1[[#This Row],[PRINCIPAL ]:[INTEREST ]])</f>
        <v>1275.5927096658481</v>
      </c>
      <c r="P65" s="7">
        <f>+Table1[[#This Row],[BEGINNING BALANCE ]]-Table1[[#This Row],[PRINCIPAL ]]-Table1[[#This Row],[EXTRA PAYMENT]]</f>
        <v>217911.90365176214</v>
      </c>
      <c r="Q65" s="5">
        <f>+Table1[[#This Row],[PRINCIPAL ]]+Table1[[#This Row],[EXTRA PAYMENT]]+Q64</f>
        <v>32088.096348237959</v>
      </c>
      <c r="R65" s="7">
        <f>+Table1[[#This Row],[INTEREST ]]+R64</f>
        <v>46998.651651044609</v>
      </c>
    </row>
    <row r="66" spans="1:18" x14ac:dyDescent="0.25">
      <c r="A66">
        <f t="shared" si="11"/>
        <v>63</v>
      </c>
      <c r="B66" s="1">
        <f t="shared" si="12"/>
        <v>42522</v>
      </c>
      <c r="C66" s="6">
        <f t="shared" si="13"/>
        <v>224763.92690217661</v>
      </c>
      <c r="D66" s="7">
        <f>PPMT(Inputs!$B$4/12,A66,Inputs!$B$5*12,-'Amortization Table'!$C$4)</f>
        <v>449.79252904423635</v>
      </c>
      <c r="E66" s="7">
        <f>IPMT(Inputs!$B$4/12,'Amortization Table'!A66,Inputs!$B$5*12,-'Amortization Table'!$C$4)</f>
        <v>725.80018062161173</v>
      </c>
      <c r="F66" s="7">
        <f t="shared" si="0"/>
        <v>1175.5927096658481</v>
      </c>
      <c r="G66" s="6">
        <f t="shared" si="1"/>
        <v>224314.13437313237</v>
      </c>
      <c r="H66" s="5">
        <f>+H65+Table1[[#This Row],[PRINCIPAL]]</f>
        <v>25685.865626867631</v>
      </c>
      <c r="I66" s="7">
        <f>Table1[[#This Row],[INTEREST]]+I65</f>
        <v>48376.475082080819</v>
      </c>
      <c r="J66" s="11"/>
      <c r="K66" s="7">
        <f t="shared" si="3"/>
        <v>217911.90365176214</v>
      </c>
      <c r="L66" s="7">
        <f>+References!$B$1-Table1[[#This Row],[INTEREST ]]</f>
        <v>471.91885412369959</v>
      </c>
      <c r="M66" s="5">
        <f>+Inputs!$B$11</f>
        <v>100</v>
      </c>
      <c r="N66" s="7">
        <f>+Table1[[#This Row],[BEGINNING BALANCE ]]*Inputs!$B$4/12</f>
        <v>703.67385554214854</v>
      </c>
      <c r="O66" s="7">
        <f>+SUM(Table1[[#This Row],[PRINCIPAL ]:[INTEREST ]])</f>
        <v>1275.5927096658481</v>
      </c>
      <c r="P66" s="7">
        <f>+Table1[[#This Row],[BEGINNING BALANCE ]]-Table1[[#This Row],[PRINCIPAL ]]-Table1[[#This Row],[EXTRA PAYMENT]]</f>
        <v>217339.98479763843</v>
      </c>
      <c r="Q66" s="5">
        <f>+Table1[[#This Row],[PRINCIPAL ]]+Table1[[#This Row],[EXTRA PAYMENT]]+Q65</f>
        <v>32660.015202361657</v>
      </c>
      <c r="R66" s="7">
        <f>+Table1[[#This Row],[INTEREST ]]+R65</f>
        <v>47702.325506586756</v>
      </c>
    </row>
    <row r="67" spans="1:18" x14ac:dyDescent="0.25">
      <c r="A67">
        <f t="shared" si="11"/>
        <v>64</v>
      </c>
      <c r="B67" s="1">
        <f t="shared" si="12"/>
        <v>42552</v>
      </c>
      <c r="C67" s="6">
        <f t="shared" si="13"/>
        <v>224314.13437313237</v>
      </c>
      <c r="D67" s="7">
        <f>PPMT(Inputs!$B$4/12,A67,Inputs!$B$5*12,-'Amortization Table'!$C$4)</f>
        <v>451.24498408594172</v>
      </c>
      <c r="E67" s="7">
        <f>IPMT(Inputs!$B$4/12,'Amortization Table'!A67,Inputs!$B$5*12,-'Amortization Table'!$C$4)</f>
        <v>724.34772557990641</v>
      </c>
      <c r="F67" s="7">
        <f t="shared" si="0"/>
        <v>1175.5927096658481</v>
      </c>
      <c r="G67" s="6">
        <f t="shared" si="1"/>
        <v>223862.88938904644</v>
      </c>
      <c r="H67" s="5">
        <f>+H66+Table1[[#This Row],[PRINCIPAL]]</f>
        <v>26137.110610953572</v>
      </c>
      <c r="I67" s="7">
        <f>Table1[[#This Row],[INTEREST]]+I66</f>
        <v>49100.822807660727</v>
      </c>
      <c r="J67" s="11"/>
      <c r="K67" s="7">
        <f t="shared" si="3"/>
        <v>217339.98479763843</v>
      </c>
      <c r="L67" s="7">
        <f>+References!$B$1-Table1[[#This Row],[INTEREST ]]</f>
        <v>473.76567542347414</v>
      </c>
      <c r="M67" s="5">
        <f>+Inputs!$B$11</f>
        <v>100</v>
      </c>
      <c r="N67" s="7">
        <f>+Table1[[#This Row],[BEGINNING BALANCE ]]*Inputs!$B$4/12</f>
        <v>701.827034242374</v>
      </c>
      <c r="O67" s="7">
        <f>+SUM(Table1[[#This Row],[PRINCIPAL ]:[INTEREST ]])</f>
        <v>1275.5927096658481</v>
      </c>
      <c r="P67" s="7">
        <f>+Table1[[#This Row],[BEGINNING BALANCE ]]-Table1[[#This Row],[PRINCIPAL ]]-Table1[[#This Row],[EXTRA PAYMENT]]</f>
        <v>216766.21912221497</v>
      </c>
      <c r="Q67" s="5">
        <f>+Table1[[#This Row],[PRINCIPAL ]]+Table1[[#This Row],[EXTRA PAYMENT]]+Q66</f>
        <v>33233.780877785131</v>
      </c>
      <c r="R67" s="7">
        <f>+Table1[[#This Row],[INTEREST ]]+R66</f>
        <v>48404.152540829127</v>
      </c>
    </row>
    <row r="68" spans="1:18" x14ac:dyDescent="0.25">
      <c r="A68">
        <f t="shared" si="11"/>
        <v>65</v>
      </c>
      <c r="B68" s="1">
        <f t="shared" si="12"/>
        <v>42583</v>
      </c>
      <c r="C68" s="6">
        <f t="shared" si="13"/>
        <v>223862.88938904644</v>
      </c>
      <c r="D68" s="7">
        <f>PPMT(Inputs!$B$4/12,A68,Inputs!$B$5*12,-'Amortization Table'!$C$4)</f>
        <v>452.70212934705256</v>
      </c>
      <c r="E68" s="7">
        <f>IPMT(Inputs!$B$4/12,'Amortization Table'!A68,Inputs!$B$5*12,-'Amortization Table'!$C$4)</f>
        <v>722.89058031879574</v>
      </c>
      <c r="F68" s="7">
        <f t="shared" ref="F68:F131" si="14">+SUM(D68:E68)</f>
        <v>1175.5927096658484</v>
      </c>
      <c r="G68" s="6">
        <f t="shared" ref="G68:G131" si="15">+C68-D68</f>
        <v>223410.18725969939</v>
      </c>
      <c r="H68" s="5">
        <f>+H67+Table1[[#This Row],[PRINCIPAL]]</f>
        <v>26589.812740300626</v>
      </c>
      <c r="I68" s="7">
        <f>Table1[[#This Row],[INTEREST]]+I67</f>
        <v>49823.713387979522</v>
      </c>
      <c r="J68" s="11"/>
      <c r="K68" s="7">
        <f t="shared" si="3"/>
        <v>216766.21912221497</v>
      </c>
      <c r="L68" s="7">
        <f>+References!$B$1-Table1[[#This Row],[INTEREST ]]</f>
        <v>475.61846041702904</v>
      </c>
      <c r="M68" s="5">
        <f>+Inputs!$B$11</f>
        <v>100</v>
      </c>
      <c r="N68" s="7">
        <f>+Table1[[#This Row],[BEGINNING BALANCE ]]*Inputs!$B$4/12</f>
        <v>699.97424924881909</v>
      </c>
      <c r="O68" s="7">
        <f>+SUM(Table1[[#This Row],[PRINCIPAL ]:[INTEREST ]])</f>
        <v>1275.5927096658481</v>
      </c>
      <c r="P68" s="7">
        <f>+Table1[[#This Row],[BEGINNING BALANCE ]]-Table1[[#This Row],[PRINCIPAL ]]-Table1[[#This Row],[EXTRA PAYMENT]]</f>
        <v>216190.60066179794</v>
      </c>
      <c r="Q68" s="5">
        <f>+Table1[[#This Row],[PRINCIPAL ]]+Table1[[#This Row],[EXTRA PAYMENT]]+Q67</f>
        <v>33809.399338202158</v>
      </c>
      <c r="R68" s="7">
        <f>+Table1[[#This Row],[INTEREST ]]+R67</f>
        <v>49104.126790077949</v>
      </c>
    </row>
    <row r="69" spans="1:18" x14ac:dyDescent="0.25">
      <c r="A69">
        <f t="shared" si="11"/>
        <v>66</v>
      </c>
      <c r="B69" s="1">
        <f t="shared" si="12"/>
        <v>42614</v>
      </c>
      <c r="C69" s="6">
        <f t="shared" si="13"/>
        <v>223410.18725969939</v>
      </c>
      <c r="D69" s="7">
        <f>PPMT(Inputs!$B$4/12,A69,Inputs!$B$5*12,-'Amortization Table'!$C$4)</f>
        <v>454.16397997306905</v>
      </c>
      <c r="E69" s="7">
        <f>IPMT(Inputs!$B$4/12,'Amortization Table'!A69,Inputs!$B$5*12,-'Amortization Table'!$C$4)</f>
        <v>721.42872969277903</v>
      </c>
      <c r="F69" s="7">
        <f t="shared" si="14"/>
        <v>1175.5927096658481</v>
      </c>
      <c r="G69" s="6">
        <f t="shared" si="15"/>
        <v>222956.02327972633</v>
      </c>
      <c r="H69" s="5">
        <f>+H68+Table1[[#This Row],[PRINCIPAL]]</f>
        <v>27043.976720273695</v>
      </c>
      <c r="I69" s="7">
        <f>Table1[[#This Row],[INTEREST]]+I68</f>
        <v>50545.142117672302</v>
      </c>
      <c r="J69" s="11"/>
      <c r="K69" s="7">
        <f t="shared" si="3"/>
        <v>216190.60066179794</v>
      </c>
      <c r="L69" s="7">
        <f>+References!$B$1-Table1[[#This Row],[INTEREST ]]</f>
        <v>477.47722836212563</v>
      </c>
      <c r="M69" s="5">
        <f>+Inputs!$B$11</f>
        <v>100</v>
      </c>
      <c r="N69" s="7">
        <f>+Table1[[#This Row],[BEGINNING BALANCE ]]*Inputs!$B$4/12</f>
        <v>698.1154813037225</v>
      </c>
      <c r="O69" s="7">
        <f>+SUM(Table1[[#This Row],[PRINCIPAL ]:[INTEREST ]])</f>
        <v>1275.5927096658481</v>
      </c>
      <c r="P69" s="7">
        <f>+Table1[[#This Row],[BEGINNING BALANCE ]]-Table1[[#This Row],[PRINCIPAL ]]-Table1[[#This Row],[EXTRA PAYMENT]]</f>
        <v>215613.12343343583</v>
      </c>
      <c r="Q69" s="5">
        <f>+Table1[[#This Row],[PRINCIPAL ]]+Table1[[#This Row],[EXTRA PAYMENT]]+Q68</f>
        <v>34386.876566564286</v>
      </c>
      <c r="R69" s="7">
        <f>+Table1[[#This Row],[INTEREST ]]+R68</f>
        <v>49802.24227138167</v>
      </c>
    </row>
    <row r="70" spans="1:18" x14ac:dyDescent="0.25">
      <c r="A70">
        <f t="shared" si="11"/>
        <v>67</v>
      </c>
      <c r="B70" s="1">
        <f t="shared" si="12"/>
        <v>42644</v>
      </c>
      <c r="C70" s="6">
        <f t="shared" si="13"/>
        <v>222956.02327972633</v>
      </c>
      <c r="D70" s="7">
        <f>PPMT(Inputs!$B$4/12,A70,Inputs!$B$5*12,-'Amortization Table'!$C$4)</f>
        <v>455.6305511583987</v>
      </c>
      <c r="E70" s="7">
        <f>IPMT(Inputs!$B$4/12,'Amortization Table'!A70,Inputs!$B$5*12,-'Amortization Table'!$C$4)</f>
        <v>719.96215850744932</v>
      </c>
      <c r="F70" s="7">
        <f t="shared" si="14"/>
        <v>1175.5927096658479</v>
      </c>
      <c r="G70" s="6">
        <f t="shared" si="15"/>
        <v>222500.39272856794</v>
      </c>
      <c r="H70" s="5">
        <f>+H69+Table1[[#This Row],[PRINCIPAL]]</f>
        <v>27499.607271432094</v>
      </c>
      <c r="I70" s="7">
        <f>Table1[[#This Row],[INTEREST]]+I69</f>
        <v>51265.104276179751</v>
      </c>
      <c r="J70" s="11"/>
      <c r="K70" s="7">
        <f t="shared" ref="K70:K133" si="16">+P69</f>
        <v>215613.12343343583</v>
      </c>
      <c r="L70" s="7">
        <f>+References!$B$1-Table1[[#This Row],[INTEREST ]]</f>
        <v>479.34199857871158</v>
      </c>
      <c r="M70" s="5">
        <f>+Inputs!$B$11</f>
        <v>100</v>
      </c>
      <c r="N70" s="7">
        <f>+Table1[[#This Row],[BEGINNING BALANCE ]]*Inputs!$B$4/12</f>
        <v>696.25071108713655</v>
      </c>
      <c r="O70" s="7">
        <f>+SUM(Table1[[#This Row],[PRINCIPAL ]:[INTEREST ]])</f>
        <v>1275.5927096658481</v>
      </c>
      <c r="P70" s="7">
        <f>+Table1[[#This Row],[BEGINNING BALANCE ]]-Table1[[#This Row],[PRINCIPAL ]]-Table1[[#This Row],[EXTRA PAYMENT]]</f>
        <v>215033.78143485711</v>
      </c>
      <c r="Q70" s="5">
        <f>+Table1[[#This Row],[PRINCIPAL ]]+Table1[[#This Row],[EXTRA PAYMENT]]+Q69</f>
        <v>34966.218565142997</v>
      </c>
      <c r="R70" s="7">
        <f>+Table1[[#This Row],[INTEREST ]]+R69</f>
        <v>50498.492982468808</v>
      </c>
    </row>
    <row r="71" spans="1:18" x14ac:dyDescent="0.25">
      <c r="A71">
        <f t="shared" si="11"/>
        <v>68</v>
      </c>
      <c r="B71" s="1">
        <f t="shared" si="12"/>
        <v>42675</v>
      </c>
      <c r="C71" s="6">
        <f t="shared" si="13"/>
        <v>222500.39272856794</v>
      </c>
      <c r="D71" s="7">
        <f>PPMT(Inputs!$B$4/12,A71,Inputs!$B$5*12,-'Amortization Table'!$C$4)</f>
        <v>457.10185814651447</v>
      </c>
      <c r="E71" s="7">
        <f>IPMT(Inputs!$B$4/12,'Amortization Table'!A71,Inputs!$B$5*12,-'Amortization Table'!$C$4)</f>
        <v>718.49085151933377</v>
      </c>
      <c r="F71" s="7">
        <f t="shared" si="14"/>
        <v>1175.5927096658484</v>
      </c>
      <c r="G71" s="6">
        <f t="shared" si="15"/>
        <v>222043.29087042142</v>
      </c>
      <c r="H71" s="5">
        <f>+H70+Table1[[#This Row],[PRINCIPAL]]</f>
        <v>27956.709129578609</v>
      </c>
      <c r="I71" s="7">
        <f>Table1[[#This Row],[INTEREST]]+I70</f>
        <v>51983.595127699082</v>
      </c>
      <c r="J71" s="11"/>
      <c r="K71" s="7">
        <f t="shared" si="16"/>
        <v>215033.78143485711</v>
      </c>
      <c r="L71" s="7">
        <f>+References!$B$1-Table1[[#This Row],[INTEREST ]]</f>
        <v>481.21279044912205</v>
      </c>
      <c r="M71" s="5">
        <f>+Inputs!$B$11</f>
        <v>100</v>
      </c>
      <c r="N71" s="7">
        <f>+Table1[[#This Row],[BEGINNING BALANCE ]]*Inputs!$B$4/12</f>
        <v>694.37991921672608</v>
      </c>
      <c r="O71" s="7">
        <f>+SUM(Table1[[#This Row],[PRINCIPAL ]:[INTEREST ]])</f>
        <v>1275.5927096658481</v>
      </c>
      <c r="P71" s="7">
        <f>+Table1[[#This Row],[BEGINNING BALANCE ]]-Table1[[#This Row],[PRINCIPAL ]]-Table1[[#This Row],[EXTRA PAYMENT]]</f>
        <v>214452.56864440799</v>
      </c>
      <c r="Q71" s="5">
        <f>+Table1[[#This Row],[PRINCIPAL ]]+Table1[[#This Row],[EXTRA PAYMENT]]+Q70</f>
        <v>35547.431355592118</v>
      </c>
      <c r="R71" s="7">
        <f>+Table1[[#This Row],[INTEREST ]]+R70</f>
        <v>51192.872901685536</v>
      </c>
    </row>
    <row r="72" spans="1:18" x14ac:dyDescent="0.25">
      <c r="A72">
        <f t="shared" si="11"/>
        <v>69</v>
      </c>
      <c r="B72" s="1">
        <f t="shared" si="12"/>
        <v>42705</v>
      </c>
      <c r="C72" s="6">
        <f t="shared" si="13"/>
        <v>222043.29087042142</v>
      </c>
      <c r="D72" s="7">
        <f>PPMT(Inputs!$B$4/12,A72,Inputs!$B$5*12,-'Amortization Table'!$C$4)</f>
        <v>458.57791623011252</v>
      </c>
      <c r="E72" s="7">
        <f>IPMT(Inputs!$B$4/12,'Amortization Table'!A72,Inputs!$B$5*12,-'Amortization Table'!$C$4)</f>
        <v>717.01479343573556</v>
      </c>
      <c r="F72" s="7">
        <f t="shared" si="14"/>
        <v>1175.5927096658481</v>
      </c>
      <c r="G72" s="6">
        <f t="shared" si="15"/>
        <v>221584.71295419132</v>
      </c>
      <c r="H72" s="5">
        <f>+H71+Table1[[#This Row],[PRINCIPAL]]</f>
        <v>28415.28704580872</v>
      </c>
      <c r="I72" s="7">
        <f>Table1[[#This Row],[INTEREST]]+I71</f>
        <v>52700.609921134819</v>
      </c>
      <c r="J72" s="11"/>
      <c r="K72" s="7">
        <f t="shared" si="16"/>
        <v>214452.56864440799</v>
      </c>
      <c r="L72" s="7">
        <f>+References!$B$1-Table1[[#This Row],[INTEREST ]]</f>
        <v>483.08962341828067</v>
      </c>
      <c r="M72" s="5">
        <f>+Inputs!$B$11</f>
        <v>100</v>
      </c>
      <c r="N72" s="7">
        <f>+Table1[[#This Row],[BEGINNING BALANCE ]]*Inputs!$B$4/12</f>
        <v>692.50308624756747</v>
      </c>
      <c r="O72" s="7">
        <f>+SUM(Table1[[#This Row],[PRINCIPAL ]:[INTEREST ]])</f>
        <v>1275.5927096658481</v>
      </c>
      <c r="P72" s="7">
        <f>+Table1[[#This Row],[BEGINNING BALANCE ]]-Table1[[#This Row],[PRINCIPAL ]]-Table1[[#This Row],[EXTRA PAYMENT]]</f>
        <v>213869.4790209897</v>
      </c>
      <c r="Q72" s="5">
        <f>+Table1[[#This Row],[PRINCIPAL ]]+Table1[[#This Row],[EXTRA PAYMENT]]+Q71</f>
        <v>36130.520979010398</v>
      </c>
      <c r="R72" s="7">
        <f>+Table1[[#This Row],[INTEREST ]]+R71</f>
        <v>51885.375987933105</v>
      </c>
    </row>
    <row r="73" spans="1:18" x14ac:dyDescent="0.25">
      <c r="A73">
        <f t="shared" si="11"/>
        <v>70</v>
      </c>
      <c r="B73" s="1">
        <f t="shared" si="12"/>
        <v>42736</v>
      </c>
      <c r="C73" s="6">
        <f t="shared" si="13"/>
        <v>221584.71295419132</v>
      </c>
      <c r="D73" s="7">
        <f>PPMT(Inputs!$B$4/12,A73,Inputs!$B$5*12,-'Amortization Table'!$C$4)</f>
        <v>460.0587407512723</v>
      </c>
      <c r="E73" s="7">
        <f>IPMT(Inputs!$B$4/12,'Amortization Table'!A73,Inputs!$B$5*12,-'Amortization Table'!$C$4)</f>
        <v>715.53396891457589</v>
      </c>
      <c r="F73" s="7">
        <f t="shared" si="14"/>
        <v>1175.5927096658481</v>
      </c>
      <c r="G73" s="6">
        <f t="shared" si="15"/>
        <v>221124.65421344005</v>
      </c>
      <c r="H73" s="5">
        <f>+H72+Table1[[#This Row],[PRINCIPAL]]</f>
        <v>28875.345786559992</v>
      </c>
      <c r="I73" s="7">
        <f>Table1[[#This Row],[INTEREST]]+I72</f>
        <v>53416.143890049396</v>
      </c>
      <c r="J73" s="11"/>
      <c r="K73" s="7">
        <f t="shared" si="16"/>
        <v>213869.4790209897</v>
      </c>
      <c r="L73" s="7">
        <f>+References!$B$1-Table1[[#This Row],[INTEREST ]]</f>
        <v>484.97251699390222</v>
      </c>
      <c r="M73" s="5">
        <f>+Inputs!$B$11</f>
        <v>100</v>
      </c>
      <c r="N73" s="7">
        <f>+Table1[[#This Row],[BEGINNING BALANCE ]]*Inputs!$B$4/12</f>
        <v>690.62019267194592</v>
      </c>
      <c r="O73" s="7">
        <f>+SUM(Table1[[#This Row],[PRINCIPAL ]:[INTEREST ]])</f>
        <v>1275.5927096658481</v>
      </c>
      <c r="P73" s="7">
        <f>+Table1[[#This Row],[BEGINNING BALANCE ]]-Table1[[#This Row],[PRINCIPAL ]]-Table1[[#This Row],[EXTRA PAYMENT]]</f>
        <v>213284.5065039958</v>
      </c>
      <c r="Q73" s="5">
        <f>+Table1[[#This Row],[PRINCIPAL ]]+Table1[[#This Row],[EXTRA PAYMENT]]+Q72</f>
        <v>36715.493496004303</v>
      </c>
      <c r="R73" s="7">
        <f>+Table1[[#This Row],[INTEREST ]]+R72</f>
        <v>52575.996180605049</v>
      </c>
    </row>
    <row r="74" spans="1:18" x14ac:dyDescent="0.25">
      <c r="A74">
        <f t="shared" si="11"/>
        <v>71</v>
      </c>
      <c r="B74" s="1">
        <f t="shared" si="12"/>
        <v>42767</v>
      </c>
      <c r="C74" s="6">
        <f t="shared" si="13"/>
        <v>221124.65421344005</v>
      </c>
      <c r="D74" s="7">
        <f>PPMT(Inputs!$B$4/12,A74,Inputs!$B$5*12,-'Amortization Table'!$C$4)</f>
        <v>461.54434710161496</v>
      </c>
      <c r="E74" s="7">
        <f>IPMT(Inputs!$B$4/12,'Amortization Table'!A74,Inputs!$B$5*12,-'Amortization Table'!$C$4)</f>
        <v>714.04836256423312</v>
      </c>
      <c r="F74" s="7">
        <f t="shared" si="14"/>
        <v>1175.5927096658481</v>
      </c>
      <c r="G74" s="6">
        <f t="shared" si="15"/>
        <v>220663.10986633843</v>
      </c>
      <c r="H74" s="5">
        <f>+H73+Table1[[#This Row],[PRINCIPAL]]</f>
        <v>29336.890133661607</v>
      </c>
      <c r="I74" s="7">
        <f>Table1[[#This Row],[INTEREST]]+I73</f>
        <v>54130.192252613626</v>
      </c>
      <c r="J74" s="11"/>
      <c r="K74" s="7">
        <f t="shared" si="16"/>
        <v>213284.5065039958</v>
      </c>
      <c r="L74" s="7">
        <f>+References!$B$1-Table1[[#This Row],[INTEREST ]]</f>
        <v>486.86149074669504</v>
      </c>
      <c r="M74" s="5">
        <f>+Inputs!$B$11</f>
        <v>100</v>
      </c>
      <c r="N74" s="7">
        <f>+Table1[[#This Row],[BEGINNING BALANCE ]]*Inputs!$B$4/12</f>
        <v>688.73121891915309</v>
      </c>
      <c r="O74" s="7">
        <f>+SUM(Table1[[#This Row],[PRINCIPAL ]:[INTEREST ]])</f>
        <v>1275.5927096658481</v>
      </c>
      <c r="P74" s="7">
        <f>+Table1[[#This Row],[BEGINNING BALANCE ]]-Table1[[#This Row],[PRINCIPAL ]]-Table1[[#This Row],[EXTRA PAYMENT]]</f>
        <v>212697.6450132491</v>
      </c>
      <c r="Q74" s="5">
        <f>+Table1[[#This Row],[PRINCIPAL ]]+Table1[[#This Row],[EXTRA PAYMENT]]+Q73</f>
        <v>37302.354986751001</v>
      </c>
      <c r="R74" s="7">
        <f>+Table1[[#This Row],[INTEREST ]]+R73</f>
        <v>53264.727399524199</v>
      </c>
    </row>
    <row r="75" spans="1:18" x14ac:dyDescent="0.25">
      <c r="A75">
        <f t="shared" si="11"/>
        <v>72</v>
      </c>
      <c r="B75" s="1">
        <f t="shared" si="12"/>
        <v>42795</v>
      </c>
      <c r="C75" s="6">
        <f t="shared" si="13"/>
        <v>220663.10986633843</v>
      </c>
      <c r="D75" s="7">
        <f>PPMT(Inputs!$B$4/12,A75,Inputs!$B$5*12,-'Amortization Table'!$C$4)</f>
        <v>463.03475072246391</v>
      </c>
      <c r="E75" s="7">
        <f>IPMT(Inputs!$B$4/12,'Amortization Table'!A75,Inputs!$B$5*12,-'Amortization Table'!$C$4)</f>
        <v>712.55795894338428</v>
      </c>
      <c r="F75" s="7">
        <f t="shared" si="14"/>
        <v>1175.5927096658481</v>
      </c>
      <c r="G75" s="6">
        <f t="shared" si="15"/>
        <v>220200.07511561597</v>
      </c>
      <c r="H75" s="5">
        <f>+H74+Table1[[#This Row],[PRINCIPAL]]</f>
        <v>29799.924884384072</v>
      </c>
      <c r="I75" s="7">
        <f>Table1[[#This Row],[INTEREST]]+I74</f>
        <v>54842.75021155701</v>
      </c>
      <c r="J75" s="11"/>
      <c r="K75" s="7">
        <f t="shared" si="16"/>
        <v>212697.6450132491</v>
      </c>
      <c r="L75" s="7">
        <f>+References!$B$1-Table1[[#This Row],[INTEREST ]]</f>
        <v>488.75656431056461</v>
      </c>
      <c r="M75" s="5">
        <f>+Inputs!$B$11</f>
        <v>100</v>
      </c>
      <c r="N75" s="7">
        <f>+Table1[[#This Row],[BEGINNING BALANCE ]]*Inputs!$B$4/12</f>
        <v>686.83614535528352</v>
      </c>
      <c r="O75" s="7">
        <f>+SUM(Table1[[#This Row],[PRINCIPAL ]:[INTEREST ]])</f>
        <v>1275.5927096658481</v>
      </c>
      <c r="P75" s="7">
        <f>+Table1[[#This Row],[BEGINNING BALANCE ]]-Table1[[#This Row],[PRINCIPAL ]]-Table1[[#This Row],[EXTRA PAYMENT]]</f>
        <v>212108.88844893852</v>
      </c>
      <c r="Q75" s="5">
        <f>+Table1[[#This Row],[PRINCIPAL ]]+Table1[[#This Row],[EXTRA PAYMENT]]+Q74</f>
        <v>37891.111551061564</v>
      </c>
      <c r="R75" s="7">
        <f>+Table1[[#This Row],[INTEREST ]]+R74</f>
        <v>53951.563544879486</v>
      </c>
    </row>
    <row r="76" spans="1:18" x14ac:dyDescent="0.25">
      <c r="A76">
        <f t="shared" si="11"/>
        <v>73</v>
      </c>
      <c r="B76" s="1">
        <f t="shared" si="12"/>
        <v>42826</v>
      </c>
      <c r="C76" s="6">
        <f t="shared" si="13"/>
        <v>220200.07511561597</v>
      </c>
      <c r="D76" s="7">
        <f>PPMT(Inputs!$B$4/12,A76,Inputs!$B$5*12,-'Amortization Table'!$C$4)</f>
        <v>464.5299671050052</v>
      </c>
      <c r="E76" s="7">
        <f>IPMT(Inputs!$B$4/12,'Amortization Table'!A76,Inputs!$B$5*12,-'Amortization Table'!$C$4)</f>
        <v>711.06274256084282</v>
      </c>
      <c r="F76" s="7">
        <f t="shared" si="14"/>
        <v>1175.5927096658479</v>
      </c>
      <c r="G76" s="6">
        <f t="shared" si="15"/>
        <v>219735.54514851095</v>
      </c>
      <c r="H76" s="5">
        <f>+H75+Table1[[#This Row],[PRINCIPAL]]</f>
        <v>30264.454851489078</v>
      </c>
      <c r="I76" s="7">
        <f>Table1[[#This Row],[INTEREST]]+I75</f>
        <v>55553.81295411785</v>
      </c>
      <c r="J76" s="11"/>
      <c r="K76" s="7">
        <f t="shared" si="16"/>
        <v>212108.88844893852</v>
      </c>
      <c r="L76" s="7">
        <f>+References!$B$1-Table1[[#This Row],[INTEREST ]]</f>
        <v>490.65775738281752</v>
      </c>
      <c r="M76" s="5">
        <f>+Inputs!$B$11</f>
        <v>100</v>
      </c>
      <c r="N76" s="7">
        <f>+Table1[[#This Row],[BEGINNING BALANCE ]]*Inputs!$B$4/12</f>
        <v>684.93495228303061</v>
      </c>
      <c r="O76" s="7">
        <f>+SUM(Table1[[#This Row],[PRINCIPAL ]:[INTEREST ]])</f>
        <v>1275.5927096658481</v>
      </c>
      <c r="P76" s="7">
        <f>+Table1[[#This Row],[BEGINNING BALANCE ]]-Table1[[#This Row],[PRINCIPAL ]]-Table1[[#This Row],[EXTRA PAYMENT]]</f>
        <v>211518.23069155571</v>
      </c>
      <c r="Q76" s="5">
        <f>+Table1[[#This Row],[PRINCIPAL ]]+Table1[[#This Row],[EXTRA PAYMENT]]+Q75</f>
        <v>38481.769308444382</v>
      </c>
      <c r="R76" s="7">
        <f>+Table1[[#This Row],[INTEREST ]]+R75</f>
        <v>54636.498497162516</v>
      </c>
    </row>
    <row r="77" spans="1:18" x14ac:dyDescent="0.25">
      <c r="A77">
        <f t="shared" si="11"/>
        <v>74</v>
      </c>
      <c r="B77" s="1">
        <f t="shared" si="12"/>
        <v>42856</v>
      </c>
      <c r="C77" s="6">
        <f t="shared" si="13"/>
        <v>219735.54514851095</v>
      </c>
      <c r="D77" s="7">
        <f>PPMT(Inputs!$B$4/12,A77,Inputs!$B$5*12,-'Amortization Table'!$C$4)</f>
        <v>466.0300117904485</v>
      </c>
      <c r="E77" s="7">
        <f>IPMT(Inputs!$B$4/12,'Amortization Table'!A77,Inputs!$B$5*12,-'Amortization Table'!$C$4)</f>
        <v>709.56269787539964</v>
      </c>
      <c r="F77" s="7">
        <f t="shared" si="14"/>
        <v>1175.5927096658481</v>
      </c>
      <c r="G77" s="6">
        <f t="shared" si="15"/>
        <v>219269.5151367205</v>
      </c>
      <c r="H77" s="5">
        <f>+H76+Table1[[#This Row],[PRINCIPAL]]</f>
        <v>30730.484863279526</v>
      </c>
      <c r="I77" s="7">
        <f>Table1[[#This Row],[INTEREST]]+I76</f>
        <v>56263.37565199325</v>
      </c>
      <c r="J77" s="11"/>
      <c r="K77" s="7">
        <f t="shared" si="16"/>
        <v>211518.23069155571</v>
      </c>
      <c r="L77" s="7">
        <f>+References!$B$1-Table1[[#This Row],[INTEREST ]]</f>
        <v>492.56508972436609</v>
      </c>
      <c r="M77" s="5">
        <f>+Inputs!$B$11</f>
        <v>100</v>
      </c>
      <c r="N77" s="7">
        <f>+Table1[[#This Row],[BEGINNING BALANCE ]]*Inputs!$B$4/12</f>
        <v>683.02761994148204</v>
      </c>
      <c r="O77" s="7">
        <f>+SUM(Table1[[#This Row],[PRINCIPAL ]:[INTEREST ]])</f>
        <v>1275.5927096658481</v>
      </c>
      <c r="P77" s="7">
        <f>+Table1[[#This Row],[BEGINNING BALANCE ]]-Table1[[#This Row],[PRINCIPAL ]]-Table1[[#This Row],[EXTRA PAYMENT]]</f>
        <v>210925.66560183134</v>
      </c>
      <c r="Q77" s="5">
        <f>+Table1[[#This Row],[PRINCIPAL ]]+Table1[[#This Row],[EXTRA PAYMENT]]+Q76</f>
        <v>39074.33439816875</v>
      </c>
      <c r="R77" s="7">
        <f>+Table1[[#This Row],[INTEREST ]]+R76</f>
        <v>55319.526117103997</v>
      </c>
    </row>
    <row r="78" spans="1:18" x14ac:dyDescent="0.25">
      <c r="A78">
        <f t="shared" si="11"/>
        <v>75</v>
      </c>
      <c r="B78" s="1">
        <f t="shared" si="12"/>
        <v>42887</v>
      </c>
      <c r="C78" s="6">
        <f t="shared" si="13"/>
        <v>219269.5151367205</v>
      </c>
      <c r="D78" s="7">
        <f>PPMT(Inputs!$B$4/12,A78,Inputs!$B$5*12,-'Amortization Table'!$C$4)</f>
        <v>467.5349003701885</v>
      </c>
      <c r="E78" s="7">
        <f>IPMT(Inputs!$B$4/12,'Amortization Table'!A78,Inputs!$B$5*12,-'Amortization Table'!$C$4)</f>
        <v>708.05780929565981</v>
      </c>
      <c r="F78" s="7">
        <f t="shared" si="14"/>
        <v>1175.5927096658484</v>
      </c>
      <c r="G78" s="6">
        <f t="shared" si="15"/>
        <v>218801.9802363503</v>
      </c>
      <c r="H78" s="5">
        <f>+H77+Table1[[#This Row],[PRINCIPAL]]</f>
        <v>31198.019763649714</v>
      </c>
      <c r="I78" s="7">
        <f>Table1[[#This Row],[INTEREST]]+I77</f>
        <v>56971.433461288907</v>
      </c>
      <c r="J78" s="11"/>
      <c r="K78" s="7">
        <f t="shared" si="16"/>
        <v>210925.66560183134</v>
      </c>
      <c r="L78" s="7">
        <f>+References!$B$1-Table1[[#This Row],[INTEREST ]]</f>
        <v>494.47858115993438</v>
      </c>
      <c r="M78" s="5">
        <f>+Inputs!$B$11</f>
        <v>100</v>
      </c>
      <c r="N78" s="7">
        <f>+Table1[[#This Row],[BEGINNING BALANCE ]]*Inputs!$B$4/12</f>
        <v>681.11412850591375</v>
      </c>
      <c r="O78" s="7">
        <f>+SUM(Table1[[#This Row],[PRINCIPAL ]:[INTEREST ]])</f>
        <v>1275.5927096658481</v>
      </c>
      <c r="P78" s="7">
        <f>+Table1[[#This Row],[BEGINNING BALANCE ]]-Table1[[#This Row],[PRINCIPAL ]]-Table1[[#This Row],[EXTRA PAYMENT]]</f>
        <v>210331.18702067141</v>
      </c>
      <c r="Q78" s="5">
        <f>+Table1[[#This Row],[PRINCIPAL ]]+Table1[[#This Row],[EXTRA PAYMENT]]+Q77</f>
        <v>39668.812979328686</v>
      </c>
      <c r="R78" s="7">
        <f>+Table1[[#This Row],[INTEREST ]]+R77</f>
        <v>56000.640245609909</v>
      </c>
    </row>
    <row r="79" spans="1:18" x14ac:dyDescent="0.25">
      <c r="A79">
        <f t="shared" si="11"/>
        <v>76</v>
      </c>
      <c r="B79" s="1">
        <f t="shared" si="12"/>
        <v>42917</v>
      </c>
      <c r="C79" s="6">
        <f t="shared" si="13"/>
        <v>218801.9802363503</v>
      </c>
      <c r="D79" s="7">
        <f>PPMT(Inputs!$B$4/12,A79,Inputs!$B$5*12,-'Amortization Table'!$C$4)</f>
        <v>469.04464848596717</v>
      </c>
      <c r="E79" s="7">
        <f>IPMT(Inputs!$B$4/12,'Amortization Table'!A79,Inputs!$B$5*12,-'Amortization Table'!$C$4)</f>
        <v>706.54806117988085</v>
      </c>
      <c r="F79" s="7">
        <f t="shared" si="14"/>
        <v>1175.5927096658479</v>
      </c>
      <c r="G79" s="6">
        <f t="shared" si="15"/>
        <v>218332.93558786434</v>
      </c>
      <c r="H79" s="5">
        <f>+H78+Table1[[#This Row],[PRINCIPAL]]</f>
        <v>31667.064412135682</v>
      </c>
      <c r="I79" s="7">
        <f>Table1[[#This Row],[INTEREST]]+I78</f>
        <v>57677.981522468785</v>
      </c>
      <c r="J79" s="11"/>
      <c r="K79" s="7">
        <f t="shared" si="16"/>
        <v>210331.18702067141</v>
      </c>
      <c r="L79" s="7">
        <f>+References!$B$1-Table1[[#This Row],[INTEREST ]]</f>
        <v>496.3982515782634</v>
      </c>
      <c r="M79" s="5">
        <f>+Inputs!$B$11</f>
        <v>100</v>
      </c>
      <c r="N79" s="7">
        <f>+Table1[[#This Row],[BEGINNING BALANCE ]]*Inputs!$B$4/12</f>
        <v>679.19445808758474</v>
      </c>
      <c r="O79" s="7">
        <f>+SUM(Table1[[#This Row],[PRINCIPAL ]:[INTEREST ]])</f>
        <v>1275.5927096658481</v>
      </c>
      <c r="P79" s="7">
        <f>+Table1[[#This Row],[BEGINNING BALANCE ]]-Table1[[#This Row],[PRINCIPAL ]]-Table1[[#This Row],[EXTRA PAYMENT]]</f>
        <v>209734.78876909314</v>
      </c>
      <c r="Q79" s="5">
        <f>+Table1[[#This Row],[PRINCIPAL ]]+Table1[[#This Row],[EXTRA PAYMENT]]+Q78</f>
        <v>40265.211230906949</v>
      </c>
      <c r="R79" s="7">
        <f>+Table1[[#This Row],[INTEREST ]]+R78</f>
        <v>56679.834703697496</v>
      </c>
    </row>
    <row r="80" spans="1:18" x14ac:dyDescent="0.25">
      <c r="A80">
        <f t="shared" si="11"/>
        <v>77</v>
      </c>
      <c r="B80" s="1">
        <f t="shared" si="12"/>
        <v>42948</v>
      </c>
      <c r="C80" s="6">
        <f t="shared" si="13"/>
        <v>218332.93558786434</v>
      </c>
      <c r="D80" s="7">
        <f>PPMT(Inputs!$B$4/12,A80,Inputs!$B$5*12,-'Amortization Table'!$C$4)</f>
        <v>470.55927183003649</v>
      </c>
      <c r="E80" s="7">
        <f>IPMT(Inputs!$B$4/12,'Amortization Table'!A80,Inputs!$B$5*12,-'Amortization Table'!$C$4)</f>
        <v>705.0334378358117</v>
      </c>
      <c r="F80" s="7">
        <f t="shared" si="14"/>
        <v>1175.5927096658481</v>
      </c>
      <c r="G80" s="6">
        <f t="shared" si="15"/>
        <v>217862.37631603429</v>
      </c>
      <c r="H80" s="5">
        <f>+H79+Table1[[#This Row],[PRINCIPAL]]</f>
        <v>32137.623683965718</v>
      </c>
      <c r="I80" s="7">
        <f>Table1[[#This Row],[INTEREST]]+I79</f>
        <v>58383.014960304594</v>
      </c>
      <c r="J80" s="11"/>
      <c r="K80" s="7">
        <f t="shared" si="16"/>
        <v>209734.78876909314</v>
      </c>
      <c r="L80" s="7">
        <f>+References!$B$1-Table1[[#This Row],[INTEREST ]]</f>
        <v>498.32412093231824</v>
      </c>
      <c r="M80" s="5">
        <f>+Inputs!$B$11</f>
        <v>100</v>
      </c>
      <c r="N80" s="7">
        <f>+Table1[[#This Row],[BEGINNING BALANCE ]]*Inputs!$B$4/12</f>
        <v>677.2685887335299</v>
      </c>
      <c r="O80" s="7">
        <f>+SUM(Table1[[#This Row],[PRINCIPAL ]:[INTEREST ]])</f>
        <v>1275.5927096658481</v>
      </c>
      <c r="P80" s="7">
        <f>+Table1[[#This Row],[BEGINNING BALANCE ]]-Table1[[#This Row],[PRINCIPAL ]]-Table1[[#This Row],[EXTRA PAYMENT]]</f>
        <v>209136.46464816082</v>
      </c>
      <c r="Q80" s="5">
        <f>+Table1[[#This Row],[PRINCIPAL ]]+Table1[[#This Row],[EXTRA PAYMENT]]+Q79</f>
        <v>40863.535351839266</v>
      </c>
      <c r="R80" s="7">
        <f>+Table1[[#This Row],[INTEREST ]]+R79</f>
        <v>57357.103292431028</v>
      </c>
    </row>
    <row r="81" spans="1:18" x14ac:dyDescent="0.25">
      <c r="A81">
        <f t="shared" si="11"/>
        <v>78</v>
      </c>
      <c r="B81" s="1">
        <f t="shared" si="12"/>
        <v>42979</v>
      </c>
      <c r="C81" s="6">
        <f t="shared" si="13"/>
        <v>217862.37631603429</v>
      </c>
      <c r="D81" s="7">
        <f>PPMT(Inputs!$B$4/12,A81,Inputs!$B$5*12,-'Amortization Table'!$C$4)</f>
        <v>472.07878614532092</v>
      </c>
      <c r="E81" s="7">
        <f>IPMT(Inputs!$B$4/12,'Amortization Table'!A81,Inputs!$B$5*12,-'Amortization Table'!$C$4)</f>
        <v>703.51392352052721</v>
      </c>
      <c r="F81" s="7">
        <f t="shared" si="14"/>
        <v>1175.5927096658481</v>
      </c>
      <c r="G81" s="6">
        <f t="shared" si="15"/>
        <v>217390.29752988898</v>
      </c>
      <c r="H81" s="5">
        <f>+H80+Table1[[#This Row],[PRINCIPAL]]</f>
        <v>32609.702470111039</v>
      </c>
      <c r="I81" s="7">
        <f>Table1[[#This Row],[INTEREST]]+I80</f>
        <v>59086.528883825122</v>
      </c>
      <c r="J81" s="11"/>
      <c r="K81" s="7">
        <f t="shared" si="16"/>
        <v>209136.46464816082</v>
      </c>
      <c r="L81" s="7">
        <f>+References!$B$1-Table1[[#This Row],[INTEREST ]]</f>
        <v>500.25620923949543</v>
      </c>
      <c r="M81" s="5">
        <f>+Inputs!$B$11</f>
        <v>100</v>
      </c>
      <c r="N81" s="7">
        <f>+Table1[[#This Row],[BEGINNING BALANCE ]]*Inputs!$B$4/12</f>
        <v>675.3365004263527</v>
      </c>
      <c r="O81" s="7">
        <f>+SUM(Table1[[#This Row],[PRINCIPAL ]:[INTEREST ]])</f>
        <v>1275.5927096658481</v>
      </c>
      <c r="P81" s="7">
        <f>+Table1[[#This Row],[BEGINNING BALANCE ]]-Table1[[#This Row],[PRINCIPAL ]]-Table1[[#This Row],[EXTRA PAYMENT]]</f>
        <v>208536.20843892131</v>
      </c>
      <c r="Q81" s="5">
        <f>+Table1[[#This Row],[PRINCIPAL ]]+Table1[[#This Row],[EXTRA PAYMENT]]+Q80</f>
        <v>41463.79156107876</v>
      </c>
      <c r="R81" s="7">
        <f>+Table1[[#This Row],[INTEREST ]]+R80</f>
        <v>58032.439792857382</v>
      </c>
    </row>
    <row r="82" spans="1:18" x14ac:dyDescent="0.25">
      <c r="A82">
        <f t="shared" si="11"/>
        <v>79</v>
      </c>
      <c r="B82" s="1">
        <f t="shared" si="12"/>
        <v>43009</v>
      </c>
      <c r="C82" s="6">
        <f t="shared" si="13"/>
        <v>217390.29752988898</v>
      </c>
      <c r="D82" s="7">
        <f>PPMT(Inputs!$B$4/12,A82,Inputs!$B$5*12,-'Amortization Table'!$C$4)</f>
        <v>473.60320722558191</v>
      </c>
      <c r="E82" s="7">
        <f>IPMT(Inputs!$B$4/12,'Amortization Table'!A82,Inputs!$B$5*12,-'Amortization Table'!$C$4)</f>
        <v>701.98950244026639</v>
      </c>
      <c r="F82" s="7">
        <f t="shared" si="14"/>
        <v>1175.5927096658484</v>
      </c>
      <c r="G82" s="6">
        <f t="shared" si="15"/>
        <v>216916.69432266339</v>
      </c>
      <c r="H82" s="5">
        <f>+H81+Table1[[#This Row],[PRINCIPAL]]</f>
        <v>33083.305677336619</v>
      </c>
      <c r="I82" s="7">
        <f>Table1[[#This Row],[INTEREST]]+I81</f>
        <v>59788.518386265387</v>
      </c>
      <c r="J82" s="11"/>
      <c r="K82" s="7">
        <f t="shared" si="16"/>
        <v>208536.20843892131</v>
      </c>
      <c r="L82" s="7">
        <f>+References!$B$1-Table1[[#This Row],[INTEREST ]]</f>
        <v>502.19453658183136</v>
      </c>
      <c r="M82" s="5">
        <f>+Inputs!$B$11</f>
        <v>100</v>
      </c>
      <c r="N82" s="7">
        <f>+Table1[[#This Row],[BEGINNING BALANCE ]]*Inputs!$B$4/12</f>
        <v>673.39817308401678</v>
      </c>
      <c r="O82" s="7">
        <f>+SUM(Table1[[#This Row],[PRINCIPAL ]:[INTEREST ]])</f>
        <v>1275.5927096658481</v>
      </c>
      <c r="P82" s="7">
        <f>+Table1[[#This Row],[BEGINNING BALANCE ]]-Table1[[#This Row],[PRINCIPAL ]]-Table1[[#This Row],[EXTRA PAYMENT]]</f>
        <v>207934.01390233947</v>
      </c>
      <c r="Q82" s="5">
        <f>+Table1[[#This Row],[PRINCIPAL ]]+Table1[[#This Row],[EXTRA PAYMENT]]+Q81</f>
        <v>42065.986097660592</v>
      </c>
      <c r="R82" s="7">
        <f>+Table1[[#This Row],[INTEREST ]]+R81</f>
        <v>58705.837965941399</v>
      </c>
    </row>
    <row r="83" spans="1:18" x14ac:dyDescent="0.25">
      <c r="A83">
        <f t="shared" si="11"/>
        <v>80</v>
      </c>
      <c r="B83" s="1">
        <f t="shared" si="12"/>
        <v>43040</v>
      </c>
      <c r="C83" s="6">
        <f t="shared" si="13"/>
        <v>216916.69432266339</v>
      </c>
      <c r="D83" s="7">
        <f>PPMT(Inputs!$B$4/12,A83,Inputs!$B$5*12,-'Amortization Table'!$C$4)</f>
        <v>475.13255091558113</v>
      </c>
      <c r="E83" s="7">
        <f>IPMT(Inputs!$B$4/12,'Amortization Table'!A83,Inputs!$B$5*12,-'Amortization Table'!$C$4)</f>
        <v>700.46015875026706</v>
      </c>
      <c r="F83" s="7">
        <f t="shared" si="14"/>
        <v>1175.5927096658481</v>
      </c>
      <c r="G83" s="6">
        <f t="shared" si="15"/>
        <v>216441.5617717478</v>
      </c>
      <c r="H83" s="5">
        <f>+H82+Table1[[#This Row],[PRINCIPAL]]</f>
        <v>33558.438228252198</v>
      </c>
      <c r="I83" s="7">
        <f>Table1[[#This Row],[INTEREST]]+I82</f>
        <v>60488.978545015656</v>
      </c>
      <c r="J83" s="11"/>
      <c r="K83" s="7">
        <f t="shared" si="16"/>
        <v>207934.01390233947</v>
      </c>
      <c r="L83" s="7">
        <f>+References!$B$1-Table1[[#This Row],[INTEREST ]]</f>
        <v>504.13912310621026</v>
      </c>
      <c r="M83" s="5">
        <f>+Inputs!$B$11</f>
        <v>100</v>
      </c>
      <c r="N83" s="7">
        <f>+Table1[[#This Row],[BEGINNING BALANCE ]]*Inputs!$B$4/12</f>
        <v>671.45358655963787</v>
      </c>
      <c r="O83" s="7">
        <f>+SUM(Table1[[#This Row],[PRINCIPAL ]:[INTEREST ]])</f>
        <v>1275.5927096658481</v>
      </c>
      <c r="P83" s="7">
        <f>+Table1[[#This Row],[BEGINNING BALANCE ]]-Table1[[#This Row],[PRINCIPAL ]]-Table1[[#This Row],[EXTRA PAYMENT]]</f>
        <v>207329.87477923327</v>
      </c>
      <c r="Q83" s="5">
        <f>+Table1[[#This Row],[PRINCIPAL ]]+Table1[[#This Row],[EXTRA PAYMENT]]+Q82</f>
        <v>42670.1252207668</v>
      </c>
      <c r="R83" s="7">
        <f>+Table1[[#This Row],[INTEREST ]]+R82</f>
        <v>59377.291552501039</v>
      </c>
    </row>
    <row r="84" spans="1:18" x14ac:dyDescent="0.25">
      <c r="A84">
        <f t="shared" si="11"/>
        <v>81</v>
      </c>
      <c r="B84" s="1">
        <f t="shared" si="12"/>
        <v>43070</v>
      </c>
      <c r="C84" s="6">
        <f t="shared" si="13"/>
        <v>216441.5617717478</v>
      </c>
      <c r="D84" s="7">
        <f>PPMT(Inputs!$B$4/12,A84,Inputs!$B$5*12,-'Amortization Table'!$C$4)</f>
        <v>476.66683311124604</v>
      </c>
      <c r="E84" s="7">
        <f>IPMT(Inputs!$B$4/12,'Amortization Table'!A84,Inputs!$B$5*12,-'Amortization Table'!$C$4)</f>
        <v>698.92587655460204</v>
      </c>
      <c r="F84" s="7">
        <f t="shared" si="14"/>
        <v>1175.5927096658481</v>
      </c>
      <c r="G84" s="6">
        <f t="shared" si="15"/>
        <v>215964.89493863654</v>
      </c>
      <c r="H84" s="5">
        <f>+H83+Table1[[#This Row],[PRINCIPAL]]</f>
        <v>34035.105061363443</v>
      </c>
      <c r="I84" s="7">
        <f>Table1[[#This Row],[INTEREST]]+I83</f>
        <v>61187.90442157026</v>
      </c>
      <c r="J84" s="11"/>
      <c r="K84" s="7">
        <f t="shared" si="16"/>
        <v>207329.87477923327</v>
      </c>
      <c r="L84" s="7">
        <f>+References!$B$1-Table1[[#This Row],[INTEREST ]]</f>
        <v>506.08998902457404</v>
      </c>
      <c r="M84" s="5">
        <f>+Inputs!$B$11</f>
        <v>100</v>
      </c>
      <c r="N84" s="7">
        <f>+Table1[[#This Row],[BEGINNING BALANCE ]]*Inputs!$B$4/12</f>
        <v>669.5027206412741</v>
      </c>
      <c r="O84" s="7">
        <f>+SUM(Table1[[#This Row],[PRINCIPAL ]:[INTEREST ]])</f>
        <v>1275.5927096658481</v>
      </c>
      <c r="P84" s="7">
        <f>+Table1[[#This Row],[BEGINNING BALANCE ]]-Table1[[#This Row],[PRINCIPAL ]]-Table1[[#This Row],[EXTRA PAYMENT]]</f>
        <v>206723.78479020871</v>
      </c>
      <c r="Q84" s="5">
        <f>+Table1[[#This Row],[PRINCIPAL ]]+Table1[[#This Row],[EXTRA PAYMENT]]+Q83</f>
        <v>43276.215209791371</v>
      </c>
      <c r="R84" s="7">
        <f>+Table1[[#This Row],[INTEREST ]]+R83</f>
        <v>60046.79427314231</v>
      </c>
    </row>
    <row r="85" spans="1:18" x14ac:dyDescent="0.25">
      <c r="A85">
        <f t="shared" si="11"/>
        <v>82</v>
      </c>
      <c r="B85" s="1">
        <f t="shared" si="12"/>
        <v>43101</v>
      </c>
      <c r="C85" s="6">
        <f t="shared" si="13"/>
        <v>215964.89493863654</v>
      </c>
      <c r="D85" s="7">
        <f>PPMT(Inputs!$B$4/12,A85,Inputs!$B$5*12,-'Amortization Table'!$C$4)</f>
        <v>478.20606975983452</v>
      </c>
      <c r="E85" s="7">
        <f>IPMT(Inputs!$B$4/12,'Amortization Table'!A85,Inputs!$B$5*12,-'Amortization Table'!$C$4)</f>
        <v>697.38663990601378</v>
      </c>
      <c r="F85" s="7">
        <f t="shared" si="14"/>
        <v>1175.5927096658484</v>
      </c>
      <c r="G85" s="6">
        <f t="shared" si="15"/>
        <v>215486.68886887672</v>
      </c>
      <c r="H85" s="5">
        <f>+H84+Table1[[#This Row],[PRINCIPAL]]</f>
        <v>34513.311131123279</v>
      </c>
      <c r="I85" s="7">
        <f>Table1[[#This Row],[INTEREST]]+I84</f>
        <v>61885.291061476273</v>
      </c>
      <c r="J85" s="11"/>
      <c r="K85" s="7">
        <f t="shared" si="16"/>
        <v>206723.78479020871</v>
      </c>
      <c r="L85" s="7">
        <f>+References!$B$1-Table1[[#This Row],[INTEREST ]]</f>
        <v>508.04715461413252</v>
      </c>
      <c r="M85" s="5">
        <f>+Inputs!$B$11</f>
        <v>100</v>
      </c>
      <c r="N85" s="7">
        <f>+Table1[[#This Row],[BEGINNING BALANCE ]]*Inputs!$B$4/12</f>
        <v>667.54555505171561</v>
      </c>
      <c r="O85" s="7">
        <f>+SUM(Table1[[#This Row],[PRINCIPAL ]:[INTEREST ]])</f>
        <v>1275.5927096658481</v>
      </c>
      <c r="P85" s="7">
        <f>+Table1[[#This Row],[BEGINNING BALANCE ]]-Table1[[#This Row],[PRINCIPAL ]]-Table1[[#This Row],[EXTRA PAYMENT]]</f>
        <v>206115.73763559459</v>
      </c>
      <c r="Q85" s="5">
        <f>+Table1[[#This Row],[PRINCIPAL ]]+Table1[[#This Row],[EXTRA PAYMENT]]+Q84</f>
        <v>43884.262364405506</v>
      </c>
      <c r="R85" s="7">
        <f>+Table1[[#This Row],[INTEREST ]]+R84</f>
        <v>60714.339828194024</v>
      </c>
    </row>
    <row r="86" spans="1:18" x14ac:dyDescent="0.25">
      <c r="A86">
        <f t="shared" si="11"/>
        <v>83</v>
      </c>
      <c r="B86" s="1">
        <f t="shared" si="12"/>
        <v>43132</v>
      </c>
      <c r="C86" s="6">
        <f t="shared" si="13"/>
        <v>215486.68886887672</v>
      </c>
      <c r="D86" s="7">
        <f>PPMT(Inputs!$B$4/12,A86,Inputs!$B$5*12,-'Amortization Table'!$C$4)</f>
        <v>479.7502768601006</v>
      </c>
      <c r="E86" s="7">
        <f>IPMT(Inputs!$B$4/12,'Amortization Table'!A86,Inputs!$B$5*12,-'Amortization Table'!$C$4)</f>
        <v>695.84243280574776</v>
      </c>
      <c r="F86" s="7">
        <f t="shared" si="14"/>
        <v>1175.5927096658484</v>
      </c>
      <c r="G86" s="6">
        <f t="shared" si="15"/>
        <v>215006.93859201661</v>
      </c>
      <c r="H86" s="5">
        <f>+H85+Table1[[#This Row],[PRINCIPAL]]</f>
        <v>34993.061407983376</v>
      </c>
      <c r="I86" s="7">
        <f>Table1[[#This Row],[INTEREST]]+I85</f>
        <v>62581.133494282018</v>
      </c>
      <c r="J86" s="11"/>
      <c r="K86" s="7">
        <f t="shared" si="16"/>
        <v>206115.73763559459</v>
      </c>
      <c r="L86" s="7">
        <f>+References!$B$1-Table1[[#This Row],[INTEREST ]]</f>
        <v>510.01064021757395</v>
      </c>
      <c r="M86" s="5">
        <f>+Inputs!$B$11</f>
        <v>100</v>
      </c>
      <c r="N86" s="7">
        <f>+Table1[[#This Row],[BEGINNING BALANCE ]]*Inputs!$B$4/12</f>
        <v>665.58206944827418</v>
      </c>
      <c r="O86" s="7">
        <f>+SUM(Table1[[#This Row],[PRINCIPAL ]:[INTEREST ]])</f>
        <v>1275.5927096658481</v>
      </c>
      <c r="P86" s="7">
        <f>+Table1[[#This Row],[BEGINNING BALANCE ]]-Table1[[#This Row],[PRINCIPAL ]]-Table1[[#This Row],[EXTRA PAYMENT]]</f>
        <v>205505.72699537702</v>
      </c>
      <c r="Q86" s="5">
        <f>+Table1[[#This Row],[PRINCIPAL ]]+Table1[[#This Row],[EXTRA PAYMENT]]+Q85</f>
        <v>44494.273004623079</v>
      </c>
      <c r="R86" s="7">
        <f>+Table1[[#This Row],[INTEREST ]]+R85</f>
        <v>61379.9218976423</v>
      </c>
    </row>
    <row r="87" spans="1:18" x14ac:dyDescent="0.25">
      <c r="A87">
        <f t="shared" si="11"/>
        <v>84</v>
      </c>
      <c r="B87" s="1">
        <f t="shared" si="12"/>
        <v>43160</v>
      </c>
      <c r="C87" s="6">
        <f t="shared" si="13"/>
        <v>215006.93859201661</v>
      </c>
      <c r="D87" s="7">
        <f>PPMT(Inputs!$B$4/12,A87,Inputs!$B$5*12,-'Amortization Table'!$C$4)</f>
        <v>481.29947046246127</v>
      </c>
      <c r="E87" s="7">
        <f>IPMT(Inputs!$B$4/12,'Amortization Table'!A87,Inputs!$B$5*12,-'Amortization Table'!$C$4)</f>
        <v>694.29323920338686</v>
      </c>
      <c r="F87" s="7">
        <f t="shared" si="14"/>
        <v>1175.5927096658481</v>
      </c>
      <c r="G87" s="6">
        <f t="shared" si="15"/>
        <v>214525.63912155415</v>
      </c>
      <c r="H87" s="5">
        <f>+H86+Table1[[#This Row],[PRINCIPAL]]</f>
        <v>35474.360878445834</v>
      </c>
      <c r="I87" s="7">
        <f>Table1[[#This Row],[INTEREST]]+I86</f>
        <v>63275.426733485401</v>
      </c>
      <c r="J87" s="11"/>
      <c r="K87" s="7">
        <f t="shared" si="16"/>
        <v>205505.72699537702</v>
      </c>
      <c r="L87" s="7">
        <f>+References!$B$1-Table1[[#This Row],[INTEREST ]]</f>
        <v>511.98046624327651</v>
      </c>
      <c r="M87" s="5">
        <f>+Inputs!$B$11</f>
        <v>100</v>
      </c>
      <c r="N87" s="7">
        <f>+Table1[[#This Row],[BEGINNING BALANCE ]]*Inputs!$B$4/12</f>
        <v>663.61224342257162</v>
      </c>
      <c r="O87" s="7">
        <f>+SUM(Table1[[#This Row],[PRINCIPAL ]:[INTEREST ]])</f>
        <v>1275.5927096658481</v>
      </c>
      <c r="P87" s="7">
        <f>+Table1[[#This Row],[BEGINNING BALANCE ]]-Table1[[#This Row],[PRINCIPAL ]]-Table1[[#This Row],[EXTRA PAYMENT]]</f>
        <v>204893.74652913373</v>
      </c>
      <c r="Q87" s="5">
        <f>+Table1[[#This Row],[PRINCIPAL ]]+Table1[[#This Row],[EXTRA PAYMENT]]+Q86</f>
        <v>45106.253470866359</v>
      </c>
      <c r="R87" s="7">
        <f>+Table1[[#This Row],[INTEREST ]]+R86</f>
        <v>62043.534141064869</v>
      </c>
    </row>
    <row r="88" spans="1:18" x14ac:dyDescent="0.25">
      <c r="A88">
        <f t="shared" si="11"/>
        <v>85</v>
      </c>
      <c r="B88" s="1">
        <f t="shared" si="12"/>
        <v>43191</v>
      </c>
      <c r="C88" s="6">
        <f t="shared" si="13"/>
        <v>214525.63912155415</v>
      </c>
      <c r="D88" s="7">
        <f>PPMT(Inputs!$B$4/12,A88,Inputs!$B$5*12,-'Amortization Table'!$C$4)</f>
        <v>482.85366666916303</v>
      </c>
      <c r="E88" s="7">
        <f>IPMT(Inputs!$B$4/12,'Amortization Table'!A88,Inputs!$B$5*12,-'Amortization Table'!$C$4)</f>
        <v>692.73904299668516</v>
      </c>
      <c r="F88" s="7">
        <f t="shared" si="14"/>
        <v>1175.5927096658481</v>
      </c>
      <c r="G88" s="6">
        <f t="shared" si="15"/>
        <v>214042.78545488499</v>
      </c>
      <c r="H88" s="5">
        <f>+H87+Table1[[#This Row],[PRINCIPAL]]</f>
        <v>35957.214545114999</v>
      </c>
      <c r="I88" s="7">
        <f>Table1[[#This Row],[INTEREST]]+I87</f>
        <v>63968.165776482085</v>
      </c>
      <c r="J88" s="11"/>
      <c r="K88" s="7">
        <f t="shared" si="16"/>
        <v>204893.74652913373</v>
      </c>
      <c r="L88" s="7">
        <f>+References!$B$1-Table1[[#This Row],[INTEREST ]]</f>
        <v>513.95665316552049</v>
      </c>
      <c r="M88" s="5">
        <f>+Inputs!$B$11</f>
        <v>100</v>
      </c>
      <c r="N88" s="7">
        <f>+Table1[[#This Row],[BEGINNING BALANCE ]]*Inputs!$B$4/12</f>
        <v>661.63605650032764</v>
      </c>
      <c r="O88" s="7">
        <f>+SUM(Table1[[#This Row],[PRINCIPAL ]:[INTEREST ]])</f>
        <v>1275.5927096658481</v>
      </c>
      <c r="P88" s="7">
        <f>+Table1[[#This Row],[BEGINNING BALANCE ]]-Table1[[#This Row],[PRINCIPAL ]]-Table1[[#This Row],[EXTRA PAYMENT]]</f>
        <v>204279.78987596821</v>
      </c>
      <c r="Q88" s="5">
        <f>+Table1[[#This Row],[PRINCIPAL ]]+Table1[[#This Row],[EXTRA PAYMENT]]+Q87</f>
        <v>45720.210124031881</v>
      </c>
      <c r="R88" s="7">
        <f>+Table1[[#This Row],[INTEREST ]]+R87</f>
        <v>62705.170197565196</v>
      </c>
    </row>
    <row r="89" spans="1:18" x14ac:dyDescent="0.25">
      <c r="A89">
        <f t="shared" si="11"/>
        <v>86</v>
      </c>
      <c r="B89" s="1">
        <f t="shared" si="12"/>
        <v>43221</v>
      </c>
      <c r="C89" s="6">
        <f t="shared" si="13"/>
        <v>214042.78545488499</v>
      </c>
      <c r="D89" s="7">
        <f>PPMT(Inputs!$B$4/12,A89,Inputs!$B$5*12,-'Amortization Table'!$C$4)</f>
        <v>484.41288163444892</v>
      </c>
      <c r="E89" s="7">
        <f>IPMT(Inputs!$B$4/12,'Amortization Table'!A89,Inputs!$B$5*12,-'Amortization Table'!$C$4)</f>
        <v>691.1798280313991</v>
      </c>
      <c r="F89" s="7">
        <f t="shared" si="14"/>
        <v>1175.5927096658479</v>
      </c>
      <c r="G89" s="6">
        <f t="shared" si="15"/>
        <v>213558.37257325053</v>
      </c>
      <c r="H89" s="5">
        <f>+H88+Table1[[#This Row],[PRINCIPAL]]</f>
        <v>36441.627426749445</v>
      </c>
      <c r="I89" s="7">
        <f>Table1[[#This Row],[INTEREST]]+I88</f>
        <v>64659.345604513481</v>
      </c>
      <c r="J89" s="11"/>
      <c r="K89" s="7">
        <f t="shared" si="16"/>
        <v>204279.78987596821</v>
      </c>
      <c r="L89" s="7">
        <f>+References!$B$1-Table1[[#This Row],[INTEREST ]]</f>
        <v>515.93922152470077</v>
      </c>
      <c r="M89" s="5">
        <f>+Inputs!$B$11</f>
        <v>100</v>
      </c>
      <c r="N89" s="7">
        <f>+Table1[[#This Row],[BEGINNING BALANCE ]]*Inputs!$B$4/12</f>
        <v>659.65348814114736</v>
      </c>
      <c r="O89" s="7">
        <f>+SUM(Table1[[#This Row],[PRINCIPAL ]:[INTEREST ]])</f>
        <v>1275.5927096658481</v>
      </c>
      <c r="P89" s="7">
        <f>+Table1[[#This Row],[BEGINNING BALANCE ]]-Table1[[#This Row],[PRINCIPAL ]]-Table1[[#This Row],[EXTRA PAYMENT]]</f>
        <v>203663.85065444352</v>
      </c>
      <c r="Q89" s="5">
        <f>+Table1[[#This Row],[PRINCIPAL ]]+Table1[[#This Row],[EXTRA PAYMENT]]+Q88</f>
        <v>46336.14934555658</v>
      </c>
      <c r="R89" s="7">
        <f>+Table1[[#This Row],[INTEREST ]]+R88</f>
        <v>63364.823685706346</v>
      </c>
    </row>
    <row r="90" spans="1:18" x14ac:dyDescent="0.25">
      <c r="A90">
        <f t="shared" si="11"/>
        <v>87</v>
      </c>
      <c r="B90" s="1">
        <f t="shared" si="12"/>
        <v>43252</v>
      </c>
      <c r="C90" s="6">
        <f t="shared" si="13"/>
        <v>213558.37257325053</v>
      </c>
      <c r="D90" s="7">
        <f>PPMT(Inputs!$B$4/12,A90,Inputs!$B$5*12,-'Amortization Table'!$C$4)</f>
        <v>485.97713156472673</v>
      </c>
      <c r="E90" s="7">
        <f>IPMT(Inputs!$B$4/12,'Amortization Table'!A90,Inputs!$B$5*12,-'Amortization Table'!$C$4)</f>
        <v>689.6155781011214</v>
      </c>
      <c r="F90" s="7">
        <f t="shared" si="14"/>
        <v>1175.5927096658481</v>
      </c>
      <c r="G90" s="6">
        <f t="shared" si="15"/>
        <v>213072.3954416858</v>
      </c>
      <c r="H90" s="5">
        <f>+H89+Table1[[#This Row],[PRINCIPAL]]</f>
        <v>36927.604558314168</v>
      </c>
      <c r="I90" s="7">
        <f>Table1[[#This Row],[INTEREST]]+I89</f>
        <v>65348.961182614599</v>
      </c>
      <c r="J90" s="11"/>
      <c r="K90" s="7">
        <f t="shared" si="16"/>
        <v>203663.85065444352</v>
      </c>
      <c r="L90" s="7">
        <f>+References!$B$1-Table1[[#This Row],[INTEREST ]]</f>
        <v>517.92819192754098</v>
      </c>
      <c r="M90" s="5">
        <f>+Inputs!$B$11</f>
        <v>100</v>
      </c>
      <c r="N90" s="7">
        <f>+Table1[[#This Row],[BEGINNING BALANCE ]]*Inputs!$B$4/12</f>
        <v>657.66451773830715</v>
      </c>
      <c r="O90" s="7">
        <f>+SUM(Table1[[#This Row],[PRINCIPAL ]:[INTEREST ]])</f>
        <v>1275.5927096658481</v>
      </c>
      <c r="P90" s="7">
        <f>+Table1[[#This Row],[BEGINNING BALANCE ]]-Table1[[#This Row],[PRINCIPAL ]]-Table1[[#This Row],[EXTRA PAYMENT]]</f>
        <v>203045.92246251597</v>
      </c>
      <c r="Q90" s="5">
        <f>+Table1[[#This Row],[PRINCIPAL ]]+Table1[[#This Row],[EXTRA PAYMENT]]+Q89</f>
        <v>46954.077537484118</v>
      </c>
      <c r="R90" s="7">
        <f>+Table1[[#This Row],[INTEREST ]]+R89</f>
        <v>64022.488203444656</v>
      </c>
    </row>
    <row r="91" spans="1:18" x14ac:dyDescent="0.25">
      <c r="A91">
        <f t="shared" si="11"/>
        <v>88</v>
      </c>
      <c r="B91" s="1">
        <f t="shared" si="12"/>
        <v>43282</v>
      </c>
      <c r="C91" s="6">
        <f t="shared" si="13"/>
        <v>213072.3954416858</v>
      </c>
      <c r="D91" s="7">
        <f>PPMT(Inputs!$B$4/12,A91,Inputs!$B$5*12,-'Amortization Table'!$C$4)</f>
        <v>487.54643271873783</v>
      </c>
      <c r="E91" s="7">
        <f>IPMT(Inputs!$B$4/12,'Amortization Table'!A91,Inputs!$B$5*12,-'Amortization Table'!$C$4)</f>
        <v>688.04627694711019</v>
      </c>
      <c r="F91" s="7">
        <f t="shared" si="14"/>
        <v>1175.5927096658479</v>
      </c>
      <c r="G91" s="6">
        <f t="shared" si="15"/>
        <v>212584.84900896705</v>
      </c>
      <c r="H91" s="5">
        <f>+H90+Table1[[#This Row],[PRINCIPAL]]</f>
        <v>37415.150991032904</v>
      </c>
      <c r="I91" s="7">
        <f>Table1[[#This Row],[INTEREST]]+I90</f>
        <v>66037.007459561704</v>
      </c>
      <c r="J91" s="11"/>
      <c r="K91" s="7">
        <f t="shared" si="16"/>
        <v>203045.92246251597</v>
      </c>
      <c r="L91" s="7">
        <f>+References!$B$1-Table1[[#This Row],[INTEREST ]]</f>
        <v>519.92358504730703</v>
      </c>
      <c r="M91" s="5">
        <f>+Inputs!$B$11</f>
        <v>100</v>
      </c>
      <c r="N91" s="7">
        <f>+Table1[[#This Row],[BEGINNING BALANCE ]]*Inputs!$B$4/12</f>
        <v>655.6691246185411</v>
      </c>
      <c r="O91" s="7">
        <f>+SUM(Table1[[#This Row],[PRINCIPAL ]:[INTEREST ]])</f>
        <v>1275.5927096658481</v>
      </c>
      <c r="P91" s="7">
        <f>+Table1[[#This Row],[BEGINNING BALANCE ]]-Table1[[#This Row],[PRINCIPAL ]]-Table1[[#This Row],[EXTRA PAYMENT]]</f>
        <v>202425.99887746866</v>
      </c>
      <c r="Q91" s="5">
        <f>+Table1[[#This Row],[PRINCIPAL ]]+Table1[[#This Row],[EXTRA PAYMENT]]+Q90</f>
        <v>47574.001122531423</v>
      </c>
      <c r="R91" s="7">
        <f>+Table1[[#This Row],[INTEREST ]]+R90</f>
        <v>64678.1573280632</v>
      </c>
    </row>
    <row r="92" spans="1:18" x14ac:dyDescent="0.25">
      <c r="A92">
        <f t="shared" si="11"/>
        <v>89</v>
      </c>
      <c r="B92" s="1">
        <f t="shared" si="12"/>
        <v>43313</v>
      </c>
      <c r="C92" s="6">
        <f t="shared" si="13"/>
        <v>212584.84900896705</v>
      </c>
      <c r="D92" s="7">
        <f>PPMT(Inputs!$B$4/12,A92,Inputs!$B$5*12,-'Amortization Table'!$C$4)</f>
        <v>489.12080140772548</v>
      </c>
      <c r="E92" s="7">
        <f>IPMT(Inputs!$B$4/12,'Amortization Table'!A92,Inputs!$B$5*12,-'Amortization Table'!$C$4)</f>
        <v>686.47190825812265</v>
      </c>
      <c r="F92" s="7">
        <f t="shared" si="14"/>
        <v>1175.5927096658481</v>
      </c>
      <c r="G92" s="6">
        <f t="shared" si="15"/>
        <v>212095.72820755932</v>
      </c>
      <c r="H92" s="5">
        <f>+H91+Table1[[#This Row],[PRINCIPAL]]</f>
        <v>37904.271792440632</v>
      </c>
      <c r="I92" s="7">
        <f>Table1[[#This Row],[INTEREST]]+I91</f>
        <v>66723.479367819833</v>
      </c>
      <c r="J92" s="11"/>
      <c r="K92" s="7">
        <f t="shared" si="16"/>
        <v>202425.99887746866</v>
      </c>
      <c r="L92" s="7">
        <f>+References!$B$1-Table1[[#This Row],[INTEREST ]]</f>
        <v>521.92542162402231</v>
      </c>
      <c r="M92" s="5">
        <f>+Inputs!$B$11</f>
        <v>100</v>
      </c>
      <c r="N92" s="7">
        <f>+Table1[[#This Row],[BEGINNING BALANCE ]]*Inputs!$B$4/12</f>
        <v>653.66728804182583</v>
      </c>
      <c r="O92" s="7">
        <f>+SUM(Table1[[#This Row],[PRINCIPAL ]:[INTEREST ]])</f>
        <v>1275.5927096658481</v>
      </c>
      <c r="P92" s="7">
        <f>+Table1[[#This Row],[BEGINNING BALANCE ]]-Table1[[#This Row],[PRINCIPAL ]]-Table1[[#This Row],[EXTRA PAYMENT]]</f>
        <v>201804.07345584466</v>
      </c>
      <c r="Q92" s="5">
        <f>+Table1[[#This Row],[PRINCIPAL ]]+Table1[[#This Row],[EXTRA PAYMENT]]+Q91</f>
        <v>48195.926544155445</v>
      </c>
      <c r="R92" s="7">
        <f>+Table1[[#This Row],[INTEREST ]]+R91</f>
        <v>65331.824616105027</v>
      </c>
    </row>
    <row r="93" spans="1:18" x14ac:dyDescent="0.25">
      <c r="A93">
        <f t="shared" si="11"/>
        <v>90</v>
      </c>
      <c r="B93" s="1">
        <f t="shared" si="12"/>
        <v>43344</v>
      </c>
      <c r="C93" s="6">
        <f t="shared" si="13"/>
        <v>212095.72820755932</v>
      </c>
      <c r="D93" s="7">
        <f>PPMT(Inputs!$B$4/12,A93,Inputs!$B$5*12,-'Amortization Table'!$C$4)</f>
        <v>490.70025399560461</v>
      </c>
      <c r="E93" s="7">
        <f>IPMT(Inputs!$B$4/12,'Amortization Table'!A93,Inputs!$B$5*12,-'Amortization Table'!$C$4)</f>
        <v>684.89245567024341</v>
      </c>
      <c r="F93" s="7">
        <f t="shared" si="14"/>
        <v>1175.5927096658479</v>
      </c>
      <c r="G93" s="6">
        <f t="shared" si="15"/>
        <v>211605.02795356372</v>
      </c>
      <c r="H93" s="5">
        <f>+H92+Table1[[#This Row],[PRINCIPAL]]</f>
        <v>38394.972046436233</v>
      </c>
      <c r="I93" s="7">
        <f>Table1[[#This Row],[INTEREST]]+I92</f>
        <v>67408.371823490073</v>
      </c>
      <c r="J93" s="11"/>
      <c r="K93" s="7">
        <f t="shared" si="16"/>
        <v>201804.07345584466</v>
      </c>
      <c r="L93" s="7">
        <f>+References!$B$1-Table1[[#This Row],[INTEREST ]]</f>
        <v>523.93372246468311</v>
      </c>
      <c r="M93" s="5">
        <f>+Inputs!$B$11</f>
        <v>100</v>
      </c>
      <c r="N93" s="7">
        <f>+Table1[[#This Row],[BEGINNING BALANCE ]]*Inputs!$B$4/12</f>
        <v>651.65898720116502</v>
      </c>
      <c r="O93" s="7">
        <f>+SUM(Table1[[#This Row],[PRINCIPAL ]:[INTEREST ]])</f>
        <v>1275.5927096658481</v>
      </c>
      <c r="P93" s="7">
        <f>+Table1[[#This Row],[BEGINNING BALANCE ]]-Table1[[#This Row],[PRINCIPAL ]]-Table1[[#This Row],[EXTRA PAYMENT]]</f>
        <v>201180.13973337997</v>
      </c>
      <c r="Q93" s="5">
        <f>+Table1[[#This Row],[PRINCIPAL ]]+Table1[[#This Row],[EXTRA PAYMENT]]+Q92</f>
        <v>48819.860266620126</v>
      </c>
      <c r="R93" s="7">
        <f>+Table1[[#This Row],[INTEREST ]]+R92</f>
        <v>65983.483603306187</v>
      </c>
    </row>
    <row r="94" spans="1:18" x14ac:dyDescent="0.25">
      <c r="A94">
        <f t="shared" si="11"/>
        <v>91</v>
      </c>
      <c r="B94" s="1">
        <f t="shared" si="12"/>
        <v>43374</v>
      </c>
      <c r="C94" s="6">
        <f t="shared" si="13"/>
        <v>211605.02795356372</v>
      </c>
      <c r="D94" s="7">
        <f>PPMT(Inputs!$B$4/12,A94,Inputs!$B$5*12,-'Amortization Table'!$C$4)</f>
        <v>492.28480689913204</v>
      </c>
      <c r="E94" s="7">
        <f>IPMT(Inputs!$B$4/12,'Amortization Table'!A94,Inputs!$B$5*12,-'Amortization Table'!$C$4)</f>
        <v>683.3079027667161</v>
      </c>
      <c r="F94" s="7">
        <f t="shared" si="14"/>
        <v>1175.5927096658481</v>
      </c>
      <c r="G94" s="6">
        <f t="shared" si="15"/>
        <v>211112.74314666458</v>
      </c>
      <c r="H94" s="5">
        <f>+H93+Table1[[#This Row],[PRINCIPAL]]</f>
        <v>38887.256853335362</v>
      </c>
      <c r="I94" s="7">
        <f>Table1[[#This Row],[INTEREST]]+I93</f>
        <v>68091.679726256785</v>
      </c>
      <c r="J94" s="11"/>
      <c r="K94" s="7">
        <f t="shared" si="16"/>
        <v>201180.13973337997</v>
      </c>
      <c r="L94" s="7">
        <f>+References!$B$1-Table1[[#This Row],[INTEREST ]]</f>
        <v>525.94850844347536</v>
      </c>
      <c r="M94" s="5">
        <f>+Inputs!$B$11</f>
        <v>100</v>
      </c>
      <c r="N94" s="7">
        <f>+Table1[[#This Row],[BEGINNING BALANCE ]]*Inputs!$B$4/12</f>
        <v>649.64420122237277</v>
      </c>
      <c r="O94" s="7">
        <f>+SUM(Table1[[#This Row],[PRINCIPAL ]:[INTEREST ]])</f>
        <v>1275.5927096658481</v>
      </c>
      <c r="P94" s="7">
        <f>+Table1[[#This Row],[BEGINNING BALANCE ]]-Table1[[#This Row],[PRINCIPAL ]]-Table1[[#This Row],[EXTRA PAYMENT]]</f>
        <v>200554.19122493648</v>
      </c>
      <c r="Q94" s="5">
        <f>+Table1[[#This Row],[PRINCIPAL ]]+Table1[[#This Row],[EXTRA PAYMENT]]+Q93</f>
        <v>49445.808775063604</v>
      </c>
      <c r="R94" s="7">
        <f>+Table1[[#This Row],[INTEREST ]]+R93</f>
        <v>66633.127804528558</v>
      </c>
    </row>
    <row r="95" spans="1:18" x14ac:dyDescent="0.25">
      <c r="A95">
        <f t="shared" si="11"/>
        <v>92</v>
      </c>
      <c r="B95" s="1">
        <f t="shared" si="12"/>
        <v>43405</v>
      </c>
      <c r="C95" s="6">
        <f t="shared" si="13"/>
        <v>211112.74314666458</v>
      </c>
      <c r="D95" s="7">
        <f>PPMT(Inputs!$B$4/12,A95,Inputs!$B$5*12,-'Amortization Table'!$C$4)</f>
        <v>493.87447658807719</v>
      </c>
      <c r="E95" s="7">
        <f>IPMT(Inputs!$B$4/12,'Amortization Table'!A95,Inputs!$B$5*12,-'Amortization Table'!$C$4)</f>
        <v>681.71823307777106</v>
      </c>
      <c r="F95" s="7">
        <f t="shared" si="14"/>
        <v>1175.5927096658484</v>
      </c>
      <c r="G95" s="6">
        <f t="shared" si="15"/>
        <v>210618.86867007651</v>
      </c>
      <c r="H95" s="5">
        <f>+H94+Table1[[#This Row],[PRINCIPAL]]</f>
        <v>39381.131329923439</v>
      </c>
      <c r="I95" s="7">
        <f>Table1[[#This Row],[INTEREST]]+I94</f>
        <v>68773.397959334558</v>
      </c>
      <c r="J95" s="11"/>
      <c r="K95" s="7">
        <f t="shared" si="16"/>
        <v>200554.19122493648</v>
      </c>
      <c r="L95" s="7">
        <f>+References!$B$1-Table1[[#This Row],[INTEREST ]]</f>
        <v>527.96980050199079</v>
      </c>
      <c r="M95" s="5">
        <f>+Inputs!$B$11</f>
        <v>100</v>
      </c>
      <c r="N95" s="7">
        <f>+Table1[[#This Row],[BEGINNING BALANCE ]]*Inputs!$B$4/12</f>
        <v>647.62290916385734</v>
      </c>
      <c r="O95" s="7">
        <f>+SUM(Table1[[#This Row],[PRINCIPAL ]:[INTEREST ]])</f>
        <v>1275.5927096658481</v>
      </c>
      <c r="P95" s="7">
        <f>+Table1[[#This Row],[BEGINNING BALANCE ]]-Table1[[#This Row],[PRINCIPAL ]]-Table1[[#This Row],[EXTRA PAYMENT]]</f>
        <v>199926.22142443448</v>
      </c>
      <c r="Q95" s="5">
        <f>+Table1[[#This Row],[PRINCIPAL ]]+Table1[[#This Row],[EXTRA PAYMENT]]+Q94</f>
        <v>50073.778575565593</v>
      </c>
      <c r="R95" s="7">
        <f>+Table1[[#This Row],[INTEREST ]]+R94</f>
        <v>67280.75071369241</v>
      </c>
    </row>
    <row r="96" spans="1:18" x14ac:dyDescent="0.25">
      <c r="A96">
        <f t="shared" si="11"/>
        <v>93</v>
      </c>
      <c r="B96" s="1">
        <f t="shared" si="12"/>
        <v>43435</v>
      </c>
      <c r="C96" s="6">
        <f t="shared" si="13"/>
        <v>210618.86867007651</v>
      </c>
      <c r="D96" s="7">
        <f>PPMT(Inputs!$B$4/12,A96,Inputs!$B$5*12,-'Amortization Table'!$C$4)</f>
        <v>495.46927958539283</v>
      </c>
      <c r="E96" s="7">
        <f>IPMT(Inputs!$B$4/12,'Amortization Table'!A96,Inputs!$B$5*12,-'Amortization Table'!$C$4)</f>
        <v>680.12343008045536</v>
      </c>
      <c r="F96" s="7">
        <f t="shared" si="14"/>
        <v>1175.5927096658481</v>
      </c>
      <c r="G96" s="6">
        <f t="shared" si="15"/>
        <v>210123.3993904911</v>
      </c>
      <c r="H96" s="5">
        <f>+H95+Table1[[#This Row],[PRINCIPAL]]</f>
        <v>39876.600609508831</v>
      </c>
      <c r="I96" s="7">
        <f>Table1[[#This Row],[INTEREST]]+I95</f>
        <v>69453.521389415007</v>
      </c>
      <c r="J96" s="11"/>
      <c r="K96" s="7">
        <f t="shared" si="16"/>
        <v>199926.22142443448</v>
      </c>
      <c r="L96" s="7">
        <f>+References!$B$1-Table1[[#This Row],[INTEREST ]]</f>
        <v>529.99761964944514</v>
      </c>
      <c r="M96" s="5">
        <f>+Inputs!$B$11</f>
        <v>100</v>
      </c>
      <c r="N96" s="7">
        <f>+Table1[[#This Row],[BEGINNING BALANCE ]]*Inputs!$B$4/12</f>
        <v>645.59509001640299</v>
      </c>
      <c r="O96" s="7">
        <f>+SUM(Table1[[#This Row],[PRINCIPAL ]:[INTEREST ]])</f>
        <v>1275.5927096658481</v>
      </c>
      <c r="P96" s="7">
        <f>+Table1[[#This Row],[BEGINNING BALANCE ]]-Table1[[#This Row],[PRINCIPAL ]]-Table1[[#This Row],[EXTRA PAYMENT]]</f>
        <v>199296.22380478503</v>
      </c>
      <c r="Q96" s="5">
        <f>+Table1[[#This Row],[PRINCIPAL ]]+Table1[[#This Row],[EXTRA PAYMENT]]+Q95</f>
        <v>50703.776195215039</v>
      </c>
      <c r="R96" s="7">
        <f>+Table1[[#This Row],[INTEREST ]]+R95</f>
        <v>67926.345803708813</v>
      </c>
    </row>
    <row r="97" spans="1:18" x14ac:dyDescent="0.25">
      <c r="A97">
        <f t="shared" si="11"/>
        <v>94</v>
      </c>
      <c r="B97" s="1">
        <f t="shared" si="12"/>
        <v>43466</v>
      </c>
      <c r="C97" s="6">
        <f t="shared" si="13"/>
        <v>210123.3993904911</v>
      </c>
      <c r="D97" s="7">
        <f>PPMT(Inputs!$B$4/12,A97,Inputs!$B$5*12,-'Amortization Table'!$C$4)</f>
        <v>497.06923246738739</v>
      </c>
      <c r="E97" s="7">
        <f>IPMT(Inputs!$B$4/12,'Amortization Table'!A97,Inputs!$B$5*12,-'Amortization Table'!$C$4)</f>
        <v>678.52347719846068</v>
      </c>
      <c r="F97" s="7">
        <f t="shared" si="14"/>
        <v>1175.5927096658481</v>
      </c>
      <c r="G97" s="6">
        <f t="shared" si="15"/>
        <v>209626.33015802372</v>
      </c>
      <c r="H97" s="5">
        <f>+H96+Table1[[#This Row],[PRINCIPAL]]</f>
        <v>40373.669841976218</v>
      </c>
      <c r="I97" s="7">
        <f>Table1[[#This Row],[INTEREST]]+I96</f>
        <v>70132.044866613462</v>
      </c>
      <c r="J97" s="11"/>
      <c r="K97" s="7">
        <f t="shared" si="16"/>
        <v>199296.22380478503</v>
      </c>
      <c r="L97" s="7">
        <f>+References!$B$1-Table1[[#This Row],[INTEREST ]]</f>
        <v>532.03198696289644</v>
      </c>
      <c r="M97" s="5">
        <f>+Inputs!$B$11</f>
        <v>100</v>
      </c>
      <c r="N97" s="7">
        <f>+Table1[[#This Row],[BEGINNING BALANCE ]]*Inputs!$B$4/12</f>
        <v>643.56072270295169</v>
      </c>
      <c r="O97" s="7">
        <f>+SUM(Table1[[#This Row],[PRINCIPAL ]:[INTEREST ]])</f>
        <v>1275.5927096658481</v>
      </c>
      <c r="P97" s="7">
        <f>+Table1[[#This Row],[BEGINNING BALANCE ]]-Table1[[#This Row],[PRINCIPAL ]]-Table1[[#This Row],[EXTRA PAYMENT]]</f>
        <v>198664.19181782214</v>
      </c>
      <c r="Q97" s="5">
        <f>+Table1[[#This Row],[PRINCIPAL ]]+Table1[[#This Row],[EXTRA PAYMENT]]+Q96</f>
        <v>51335.808182177934</v>
      </c>
      <c r="R97" s="7">
        <f>+Table1[[#This Row],[INTEREST ]]+R96</f>
        <v>68569.906526411767</v>
      </c>
    </row>
    <row r="98" spans="1:18" x14ac:dyDescent="0.25">
      <c r="A98">
        <f t="shared" si="11"/>
        <v>95</v>
      </c>
      <c r="B98" s="1">
        <f t="shared" si="12"/>
        <v>43497</v>
      </c>
      <c r="C98" s="6">
        <f t="shared" si="13"/>
        <v>209626.33015802372</v>
      </c>
      <c r="D98" s="7">
        <f>PPMT(Inputs!$B$4/12,A98,Inputs!$B$5*12,-'Amortization Table'!$C$4)</f>
        <v>498.67435186389656</v>
      </c>
      <c r="E98" s="7">
        <f>IPMT(Inputs!$B$4/12,'Amortization Table'!A98,Inputs!$B$5*12,-'Amortization Table'!$C$4)</f>
        <v>676.91835780195163</v>
      </c>
      <c r="F98" s="7">
        <f t="shared" si="14"/>
        <v>1175.5927096658481</v>
      </c>
      <c r="G98" s="6">
        <f t="shared" si="15"/>
        <v>209127.65580615983</v>
      </c>
      <c r="H98" s="5">
        <f>+H97+Table1[[#This Row],[PRINCIPAL]]</f>
        <v>40872.344193840116</v>
      </c>
      <c r="I98" s="7">
        <f>Table1[[#This Row],[INTEREST]]+I97</f>
        <v>70808.96322441542</v>
      </c>
      <c r="J98" s="11"/>
      <c r="K98" s="7">
        <f t="shared" si="16"/>
        <v>198664.19181782214</v>
      </c>
      <c r="L98" s="7">
        <f>+References!$B$1-Table1[[#This Row],[INTEREST ]]</f>
        <v>534.07292358746417</v>
      </c>
      <c r="M98" s="5">
        <f>+Inputs!$B$11</f>
        <v>100</v>
      </c>
      <c r="N98" s="7">
        <f>+Table1[[#This Row],[BEGINNING BALANCE ]]*Inputs!$B$4/12</f>
        <v>641.51978607838396</v>
      </c>
      <c r="O98" s="7">
        <f>+SUM(Table1[[#This Row],[PRINCIPAL ]:[INTEREST ]])</f>
        <v>1275.5927096658481</v>
      </c>
      <c r="P98" s="7">
        <f>+Table1[[#This Row],[BEGINNING BALANCE ]]-Table1[[#This Row],[PRINCIPAL ]]-Table1[[#This Row],[EXTRA PAYMENT]]</f>
        <v>198030.11889423468</v>
      </c>
      <c r="Q98" s="5">
        <f>+Table1[[#This Row],[PRINCIPAL ]]+Table1[[#This Row],[EXTRA PAYMENT]]+Q97</f>
        <v>51969.881105765395</v>
      </c>
      <c r="R98" s="7">
        <f>+Table1[[#This Row],[INTEREST ]]+R97</f>
        <v>69211.426312490148</v>
      </c>
    </row>
    <row r="99" spans="1:18" x14ac:dyDescent="0.25">
      <c r="A99">
        <f t="shared" si="11"/>
        <v>96</v>
      </c>
      <c r="B99" s="1">
        <f t="shared" si="12"/>
        <v>43525</v>
      </c>
      <c r="C99" s="6">
        <f t="shared" si="13"/>
        <v>209127.65580615983</v>
      </c>
      <c r="D99" s="7">
        <f>PPMT(Inputs!$B$4/12,A99,Inputs!$B$5*12,-'Amortization Table'!$C$4)</f>
        <v>500.28465445845711</v>
      </c>
      <c r="E99" s="7">
        <f>IPMT(Inputs!$B$4/12,'Amortization Table'!A99,Inputs!$B$5*12,-'Amortization Table'!$C$4)</f>
        <v>675.30805520739102</v>
      </c>
      <c r="F99" s="7">
        <f t="shared" si="14"/>
        <v>1175.5927096658481</v>
      </c>
      <c r="G99" s="6">
        <f t="shared" si="15"/>
        <v>208627.37115170137</v>
      </c>
      <c r="H99" s="5">
        <f>+H98+Table1[[#This Row],[PRINCIPAL]]</f>
        <v>41372.628848298569</v>
      </c>
      <c r="I99" s="7">
        <f>Table1[[#This Row],[INTEREST]]+I98</f>
        <v>71484.271279622815</v>
      </c>
      <c r="J99" s="11"/>
      <c r="K99" s="7">
        <f t="shared" si="16"/>
        <v>198030.11889423468</v>
      </c>
      <c r="L99" s="7">
        <f>+References!$B$1-Table1[[#This Row],[INTEREST ]]</f>
        <v>536.12045073654861</v>
      </c>
      <c r="M99" s="5">
        <f>+Inputs!$B$11</f>
        <v>100</v>
      </c>
      <c r="N99" s="7">
        <f>+Table1[[#This Row],[BEGINNING BALANCE ]]*Inputs!$B$4/12</f>
        <v>639.47225892929953</v>
      </c>
      <c r="O99" s="7">
        <f>+SUM(Table1[[#This Row],[PRINCIPAL ]:[INTEREST ]])</f>
        <v>1275.5927096658481</v>
      </c>
      <c r="P99" s="7">
        <f>+Table1[[#This Row],[BEGINNING BALANCE ]]-Table1[[#This Row],[PRINCIPAL ]]-Table1[[#This Row],[EXTRA PAYMENT]]</f>
        <v>197393.99844349813</v>
      </c>
      <c r="Q99" s="5">
        <f>+Table1[[#This Row],[PRINCIPAL ]]+Table1[[#This Row],[EXTRA PAYMENT]]+Q98</f>
        <v>52606.001556501942</v>
      </c>
      <c r="R99" s="7">
        <f>+Table1[[#This Row],[INTEREST ]]+R98</f>
        <v>69850.898571419442</v>
      </c>
    </row>
    <row r="100" spans="1:18" x14ac:dyDescent="0.25">
      <c r="A100">
        <f t="shared" si="11"/>
        <v>97</v>
      </c>
      <c r="B100" s="1">
        <f t="shared" si="12"/>
        <v>43556</v>
      </c>
      <c r="C100" s="6">
        <f t="shared" si="13"/>
        <v>208627.37115170137</v>
      </c>
      <c r="D100" s="7">
        <f>PPMT(Inputs!$B$4/12,A100,Inputs!$B$5*12,-'Amortization Table'!$C$4)</f>
        <v>501.90015698847924</v>
      </c>
      <c r="E100" s="7">
        <f>IPMT(Inputs!$B$4/12,'Amortization Table'!A100,Inputs!$B$5*12,-'Amortization Table'!$C$4)</f>
        <v>673.69255267736889</v>
      </c>
      <c r="F100" s="7">
        <f t="shared" si="14"/>
        <v>1175.5927096658481</v>
      </c>
      <c r="G100" s="6">
        <f t="shared" si="15"/>
        <v>208125.4709947129</v>
      </c>
      <c r="H100" s="5">
        <f>+H99+Table1[[#This Row],[PRINCIPAL]]</f>
        <v>41874.529005287048</v>
      </c>
      <c r="I100" s="7">
        <f>Table1[[#This Row],[INTEREST]]+I99</f>
        <v>72157.963832300185</v>
      </c>
      <c r="J100" s="11"/>
      <c r="K100" s="7">
        <f t="shared" si="16"/>
        <v>197393.99844349813</v>
      </c>
      <c r="L100" s="7">
        <f>+References!$B$1-Table1[[#This Row],[INTEREST ]]</f>
        <v>538.17458969205211</v>
      </c>
      <c r="M100" s="5">
        <f>+Inputs!$B$11</f>
        <v>100</v>
      </c>
      <c r="N100" s="7">
        <f>+Table1[[#This Row],[BEGINNING BALANCE ]]*Inputs!$B$4/12</f>
        <v>637.41811997379602</v>
      </c>
      <c r="O100" s="7">
        <f>+SUM(Table1[[#This Row],[PRINCIPAL ]:[INTEREST ]])</f>
        <v>1275.5927096658481</v>
      </c>
      <c r="P100" s="7">
        <f>+Table1[[#This Row],[BEGINNING BALANCE ]]-Table1[[#This Row],[PRINCIPAL ]]-Table1[[#This Row],[EXTRA PAYMENT]]</f>
        <v>196755.82385380607</v>
      </c>
      <c r="Q100" s="5">
        <f>+Table1[[#This Row],[PRINCIPAL ]]+Table1[[#This Row],[EXTRA PAYMENT]]+Q99</f>
        <v>53244.176146193997</v>
      </c>
      <c r="R100" s="7">
        <f>+Table1[[#This Row],[INTEREST ]]+R99</f>
        <v>70488.316691393236</v>
      </c>
    </row>
    <row r="101" spans="1:18" x14ac:dyDescent="0.25">
      <c r="A101">
        <f t="shared" si="11"/>
        <v>98</v>
      </c>
      <c r="B101" s="1">
        <f t="shared" si="12"/>
        <v>43586</v>
      </c>
      <c r="C101" s="6">
        <f t="shared" si="13"/>
        <v>208125.4709947129</v>
      </c>
      <c r="D101" s="7">
        <f>PPMT(Inputs!$B$4/12,A101,Inputs!$B$5*12,-'Amortization Table'!$C$4)</f>
        <v>503.52087624542116</v>
      </c>
      <c r="E101" s="7">
        <f>IPMT(Inputs!$B$4/12,'Amortization Table'!A101,Inputs!$B$5*12,-'Amortization Table'!$C$4)</f>
        <v>672.07183342042708</v>
      </c>
      <c r="F101" s="7">
        <f t="shared" si="14"/>
        <v>1175.5927096658484</v>
      </c>
      <c r="G101" s="6">
        <f t="shared" si="15"/>
        <v>207621.95011846747</v>
      </c>
      <c r="H101" s="5">
        <f>+H100+Table1[[#This Row],[PRINCIPAL]]</f>
        <v>42378.049881532468</v>
      </c>
      <c r="I101" s="7">
        <f>Table1[[#This Row],[INTEREST]]+I100</f>
        <v>72830.035665720614</v>
      </c>
      <c r="J101" s="11"/>
      <c r="K101" s="7">
        <f t="shared" si="16"/>
        <v>196755.82385380607</v>
      </c>
      <c r="L101" s="7">
        <f>+References!$B$1-Table1[[#This Row],[INTEREST ]]</f>
        <v>540.23536180459939</v>
      </c>
      <c r="M101" s="5">
        <f>+Inputs!$B$11</f>
        <v>100</v>
      </c>
      <c r="N101" s="7">
        <f>+Table1[[#This Row],[BEGINNING BALANCE ]]*Inputs!$B$4/12</f>
        <v>635.35734786124874</v>
      </c>
      <c r="O101" s="7">
        <f>+SUM(Table1[[#This Row],[PRINCIPAL ]:[INTEREST ]])</f>
        <v>1275.5927096658481</v>
      </c>
      <c r="P101" s="7">
        <f>+Table1[[#This Row],[BEGINNING BALANCE ]]-Table1[[#This Row],[PRINCIPAL ]]-Table1[[#This Row],[EXTRA PAYMENT]]</f>
        <v>196115.58849200147</v>
      </c>
      <c r="Q101" s="5">
        <f>+Table1[[#This Row],[PRINCIPAL ]]+Table1[[#This Row],[EXTRA PAYMENT]]+Q100</f>
        <v>53884.411507998593</v>
      </c>
      <c r="R101" s="7">
        <f>+Table1[[#This Row],[INTEREST ]]+R100</f>
        <v>71123.674039254489</v>
      </c>
    </row>
    <row r="102" spans="1:18" x14ac:dyDescent="0.25">
      <c r="A102">
        <f t="shared" ref="A102:A165" si="17">+A101+1</f>
        <v>99</v>
      </c>
      <c r="B102" s="1">
        <f t="shared" ref="B102:B165" si="18">+EOMONTH(B101,0)+1</f>
        <v>43617</v>
      </c>
      <c r="C102" s="6">
        <f t="shared" ref="C102:C165" si="19">+G101</f>
        <v>207621.95011846747</v>
      </c>
      <c r="D102" s="7">
        <f>PPMT(Inputs!$B$4/12,A102,Inputs!$B$5*12,-'Amortization Table'!$C$4)</f>
        <v>505.14682907496359</v>
      </c>
      <c r="E102" s="7">
        <f>IPMT(Inputs!$B$4/12,'Amortization Table'!A102,Inputs!$B$5*12,-'Amortization Table'!$C$4)</f>
        <v>670.4458805908846</v>
      </c>
      <c r="F102" s="7">
        <f t="shared" si="14"/>
        <v>1175.5927096658481</v>
      </c>
      <c r="G102" s="6">
        <f t="shared" si="15"/>
        <v>207116.8032893925</v>
      </c>
      <c r="H102" s="5">
        <f>+H101+Table1[[#This Row],[PRINCIPAL]]</f>
        <v>42883.19671060743</v>
      </c>
      <c r="I102" s="7">
        <f>Table1[[#This Row],[INTEREST]]+I101</f>
        <v>73500.481546311494</v>
      </c>
      <c r="J102" s="11"/>
      <c r="K102" s="7">
        <f t="shared" si="16"/>
        <v>196115.58849200147</v>
      </c>
      <c r="L102" s="7">
        <f>+References!$B$1-Table1[[#This Row],[INTEREST ]]</f>
        <v>542.30278849376009</v>
      </c>
      <c r="M102" s="5">
        <f>+Inputs!$B$11</f>
        <v>100</v>
      </c>
      <c r="N102" s="7">
        <f>+Table1[[#This Row],[BEGINNING BALANCE ]]*Inputs!$B$4/12</f>
        <v>633.28992117208804</v>
      </c>
      <c r="O102" s="7">
        <f>+SUM(Table1[[#This Row],[PRINCIPAL ]:[INTEREST ]])</f>
        <v>1275.5927096658481</v>
      </c>
      <c r="P102" s="7">
        <f>+Table1[[#This Row],[BEGINNING BALANCE ]]-Table1[[#This Row],[PRINCIPAL ]]-Table1[[#This Row],[EXTRA PAYMENT]]</f>
        <v>195473.28570350772</v>
      </c>
      <c r="Q102" s="5">
        <f>+Table1[[#This Row],[PRINCIPAL ]]+Table1[[#This Row],[EXTRA PAYMENT]]+Q101</f>
        <v>54526.714296492355</v>
      </c>
      <c r="R102" s="7">
        <f>+Table1[[#This Row],[INTEREST ]]+R101</f>
        <v>71756.963960426583</v>
      </c>
    </row>
    <row r="103" spans="1:18" x14ac:dyDescent="0.25">
      <c r="A103">
        <f t="shared" si="17"/>
        <v>100</v>
      </c>
      <c r="B103" s="1">
        <f t="shared" si="18"/>
        <v>43647</v>
      </c>
      <c r="C103" s="6">
        <f t="shared" si="19"/>
        <v>207116.8032893925</v>
      </c>
      <c r="D103" s="7">
        <f>PPMT(Inputs!$B$4/12,A103,Inputs!$B$5*12,-'Amortization Table'!$C$4)</f>
        <v>506.7780323771849</v>
      </c>
      <c r="E103" s="7">
        <f>IPMT(Inputs!$B$4/12,'Amortization Table'!A103,Inputs!$B$5*12,-'Amortization Table'!$C$4)</f>
        <v>668.81467728866323</v>
      </c>
      <c r="F103" s="7">
        <f t="shared" si="14"/>
        <v>1175.5927096658481</v>
      </c>
      <c r="G103" s="6">
        <f t="shared" si="15"/>
        <v>206610.02525701531</v>
      </c>
      <c r="H103" s="5">
        <f>+H102+Table1[[#This Row],[PRINCIPAL]]</f>
        <v>43389.974742984617</v>
      </c>
      <c r="I103" s="7">
        <f>Table1[[#This Row],[INTEREST]]+I102</f>
        <v>74169.296223600162</v>
      </c>
      <c r="J103" s="11"/>
      <c r="K103" s="7">
        <f t="shared" si="16"/>
        <v>195473.28570350772</v>
      </c>
      <c r="L103" s="7">
        <f>+References!$B$1-Table1[[#This Row],[INTEREST ]]</f>
        <v>544.37689124827114</v>
      </c>
      <c r="M103" s="5">
        <f>+Inputs!$B$11</f>
        <v>100</v>
      </c>
      <c r="N103" s="7">
        <f>+Table1[[#This Row],[BEGINNING BALANCE ]]*Inputs!$B$4/12</f>
        <v>631.215818417577</v>
      </c>
      <c r="O103" s="7">
        <f>+SUM(Table1[[#This Row],[PRINCIPAL ]:[INTEREST ]])</f>
        <v>1275.5927096658481</v>
      </c>
      <c r="P103" s="7">
        <f>+Table1[[#This Row],[BEGINNING BALANCE ]]-Table1[[#This Row],[PRINCIPAL ]]-Table1[[#This Row],[EXTRA PAYMENT]]</f>
        <v>194828.90881225944</v>
      </c>
      <c r="Q103" s="5">
        <f>+Table1[[#This Row],[PRINCIPAL ]]+Table1[[#This Row],[EXTRA PAYMENT]]+Q102</f>
        <v>55171.091187740625</v>
      </c>
      <c r="R103" s="7">
        <f>+Table1[[#This Row],[INTEREST ]]+R102</f>
        <v>72388.179778844162</v>
      </c>
    </row>
    <row r="104" spans="1:18" x14ac:dyDescent="0.25">
      <c r="A104">
        <f t="shared" si="17"/>
        <v>101</v>
      </c>
      <c r="B104" s="1">
        <f t="shared" si="18"/>
        <v>43678</v>
      </c>
      <c r="C104" s="6">
        <f t="shared" si="19"/>
        <v>206610.02525701531</v>
      </c>
      <c r="D104" s="7">
        <f>PPMT(Inputs!$B$4/12,A104,Inputs!$B$5*12,-'Amortization Table'!$C$4)</f>
        <v>508.41450310673622</v>
      </c>
      <c r="E104" s="7">
        <f>IPMT(Inputs!$B$4/12,'Amortization Table'!A104,Inputs!$B$5*12,-'Amortization Table'!$C$4)</f>
        <v>667.17820655911191</v>
      </c>
      <c r="F104" s="7">
        <f t="shared" si="14"/>
        <v>1175.5927096658481</v>
      </c>
      <c r="G104" s="6">
        <f t="shared" si="15"/>
        <v>206101.61075390858</v>
      </c>
      <c r="H104" s="5">
        <f>+H103+Table1[[#This Row],[PRINCIPAL]]</f>
        <v>43898.389246091356</v>
      </c>
      <c r="I104" s="7">
        <f>Table1[[#This Row],[INTEREST]]+I103</f>
        <v>74836.474430159273</v>
      </c>
      <c r="J104" s="11"/>
      <c r="K104" s="7">
        <f t="shared" si="16"/>
        <v>194828.90881225944</v>
      </c>
      <c r="L104" s="7">
        <f>+References!$B$1-Table1[[#This Row],[INTEREST ]]</f>
        <v>546.45769162626038</v>
      </c>
      <c r="M104" s="5">
        <f>+Inputs!$B$11</f>
        <v>100</v>
      </c>
      <c r="N104" s="7">
        <f>+Table1[[#This Row],[BEGINNING BALANCE ]]*Inputs!$B$4/12</f>
        <v>629.13501803958775</v>
      </c>
      <c r="O104" s="7">
        <f>+SUM(Table1[[#This Row],[PRINCIPAL ]:[INTEREST ]])</f>
        <v>1275.5927096658481</v>
      </c>
      <c r="P104" s="7">
        <f>+Table1[[#This Row],[BEGINNING BALANCE ]]-Table1[[#This Row],[PRINCIPAL ]]-Table1[[#This Row],[EXTRA PAYMENT]]</f>
        <v>194182.45112063317</v>
      </c>
      <c r="Q104" s="5">
        <f>+Table1[[#This Row],[PRINCIPAL ]]+Table1[[#This Row],[EXTRA PAYMENT]]+Q103</f>
        <v>55817.548879366885</v>
      </c>
      <c r="R104" s="7">
        <f>+Table1[[#This Row],[INTEREST ]]+R103</f>
        <v>73017.314796883744</v>
      </c>
    </row>
    <row r="105" spans="1:18" x14ac:dyDescent="0.25">
      <c r="A105">
        <f t="shared" si="17"/>
        <v>102</v>
      </c>
      <c r="B105" s="1">
        <f t="shared" si="18"/>
        <v>43709</v>
      </c>
      <c r="C105" s="6">
        <f t="shared" si="19"/>
        <v>206101.61075390858</v>
      </c>
      <c r="D105" s="7">
        <f>PPMT(Inputs!$B$4/12,A105,Inputs!$B$5*12,-'Amortization Table'!$C$4)</f>
        <v>510.05625827301844</v>
      </c>
      <c r="E105" s="7">
        <f>IPMT(Inputs!$B$4/12,'Amortization Table'!A105,Inputs!$B$5*12,-'Amortization Table'!$C$4)</f>
        <v>665.5364513928298</v>
      </c>
      <c r="F105" s="7">
        <f t="shared" si="14"/>
        <v>1175.5927096658484</v>
      </c>
      <c r="G105" s="6">
        <f t="shared" si="15"/>
        <v>205591.55449563556</v>
      </c>
      <c r="H105" s="5">
        <f>+H104+Table1[[#This Row],[PRINCIPAL]]</f>
        <v>44408.445504364376</v>
      </c>
      <c r="I105" s="7">
        <f>Table1[[#This Row],[INTEREST]]+I104</f>
        <v>75502.010881552109</v>
      </c>
      <c r="J105" s="11"/>
      <c r="K105" s="7">
        <f t="shared" si="16"/>
        <v>194182.45112063317</v>
      </c>
      <c r="L105" s="7">
        <f>+References!$B$1-Table1[[#This Row],[INTEREST ]]</f>
        <v>548.54521125547024</v>
      </c>
      <c r="M105" s="5">
        <f>+Inputs!$B$11</f>
        <v>100</v>
      </c>
      <c r="N105" s="7">
        <f>+Table1[[#This Row],[BEGINNING BALANCE ]]*Inputs!$B$4/12</f>
        <v>627.0474984103779</v>
      </c>
      <c r="O105" s="7">
        <f>+SUM(Table1[[#This Row],[PRINCIPAL ]:[INTEREST ]])</f>
        <v>1275.5927096658481</v>
      </c>
      <c r="P105" s="7">
        <f>+Table1[[#This Row],[BEGINNING BALANCE ]]-Table1[[#This Row],[PRINCIPAL ]]-Table1[[#This Row],[EXTRA PAYMENT]]</f>
        <v>193533.9059093777</v>
      </c>
      <c r="Q105" s="5">
        <f>+Table1[[#This Row],[PRINCIPAL ]]+Table1[[#This Row],[EXTRA PAYMENT]]+Q104</f>
        <v>56466.094090622355</v>
      </c>
      <c r="R105" s="7">
        <f>+Table1[[#This Row],[INTEREST ]]+R104</f>
        <v>73644.362295294122</v>
      </c>
    </row>
    <row r="106" spans="1:18" x14ac:dyDescent="0.25">
      <c r="A106">
        <f t="shared" si="17"/>
        <v>103</v>
      </c>
      <c r="B106" s="1">
        <f t="shared" si="18"/>
        <v>43739</v>
      </c>
      <c r="C106" s="6">
        <f t="shared" si="19"/>
        <v>205591.55449563556</v>
      </c>
      <c r="D106" s="7">
        <f>PPMT(Inputs!$B$4/12,A106,Inputs!$B$5*12,-'Amortization Table'!$C$4)</f>
        <v>511.70331494035833</v>
      </c>
      <c r="E106" s="7">
        <f>IPMT(Inputs!$B$4/12,'Amortization Table'!A106,Inputs!$B$5*12,-'Amortization Table'!$C$4)</f>
        <v>663.88939472548986</v>
      </c>
      <c r="F106" s="7">
        <f t="shared" si="14"/>
        <v>1175.5927096658481</v>
      </c>
      <c r="G106" s="6">
        <f t="shared" si="15"/>
        <v>205079.8511806952</v>
      </c>
      <c r="H106" s="5">
        <f>+H105+Table1[[#This Row],[PRINCIPAL]]</f>
        <v>44920.148819304733</v>
      </c>
      <c r="I106" s="7">
        <f>Table1[[#This Row],[INTEREST]]+I105</f>
        <v>76165.900276277593</v>
      </c>
      <c r="J106" s="11"/>
      <c r="K106" s="7">
        <f t="shared" si="16"/>
        <v>193533.9059093777</v>
      </c>
      <c r="L106" s="7">
        <f>+References!$B$1-Table1[[#This Row],[INTEREST ]]</f>
        <v>550.63947183348262</v>
      </c>
      <c r="M106" s="5">
        <f>+Inputs!$B$11</f>
        <v>100</v>
      </c>
      <c r="N106" s="7">
        <f>+Table1[[#This Row],[BEGINNING BALANCE ]]*Inputs!$B$4/12</f>
        <v>624.95323783236552</v>
      </c>
      <c r="O106" s="7">
        <f>+SUM(Table1[[#This Row],[PRINCIPAL ]:[INTEREST ]])</f>
        <v>1275.5927096658481</v>
      </c>
      <c r="P106" s="7">
        <f>+Table1[[#This Row],[BEGINNING BALANCE ]]-Table1[[#This Row],[PRINCIPAL ]]-Table1[[#This Row],[EXTRA PAYMENT]]</f>
        <v>192883.26643754423</v>
      </c>
      <c r="Q106" s="5">
        <f>+Table1[[#This Row],[PRINCIPAL ]]+Table1[[#This Row],[EXTRA PAYMENT]]+Q105</f>
        <v>57116.73356245584</v>
      </c>
      <c r="R106" s="7">
        <f>+Table1[[#This Row],[INTEREST ]]+R105</f>
        <v>74269.315533126486</v>
      </c>
    </row>
    <row r="107" spans="1:18" x14ac:dyDescent="0.25">
      <c r="A107">
        <f t="shared" si="17"/>
        <v>104</v>
      </c>
      <c r="B107" s="1">
        <f t="shared" si="18"/>
        <v>43770</v>
      </c>
      <c r="C107" s="6">
        <f t="shared" si="19"/>
        <v>205079.8511806952</v>
      </c>
      <c r="D107" s="7">
        <f>PPMT(Inputs!$B$4/12,A107,Inputs!$B$5*12,-'Amortization Table'!$C$4)</f>
        <v>513.35569022818652</v>
      </c>
      <c r="E107" s="7">
        <f>IPMT(Inputs!$B$4/12,'Amortization Table'!A107,Inputs!$B$5*12,-'Amortization Table'!$C$4)</f>
        <v>662.2370194376615</v>
      </c>
      <c r="F107" s="7">
        <f t="shared" si="14"/>
        <v>1175.5927096658479</v>
      </c>
      <c r="G107" s="6">
        <f t="shared" si="15"/>
        <v>204566.495490467</v>
      </c>
      <c r="H107" s="5">
        <f>+H106+Table1[[#This Row],[PRINCIPAL]]</f>
        <v>45433.504509532919</v>
      </c>
      <c r="I107" s="7">
        <f>Table1[[#This Row],[INTEREST]]+I106</f>
        <v>76828.137295715249</v>
      </c>
      <c r="J107" s="11"/>
      <c r="K107" s="7">
        <f t="shared" si="16"/>
        <v>192883.26643754423</v>
      </c>
      <c r="L107" s="7">
        <f>+References!$B$1-Table1[[#This Row],[INTEREST ]]</f>
        <v>552.74049512794488</v>
      </c>
      <c r="M107" s="5">
        <f>+Inputs!$B$11</f>
        <v>100</v>
      </c>
      <c r="N107" s="7">
        <f>+Table1[[#This Row],[BEGINNING BALANCE ]]*Inputs!$B$4/12</f>
        <v>622.85221453790325</v>
      </c>
      <c r="O107" s="7">
        <f>+SUM(Table1[[#This Row],[PRINCIPAL ]:[INTEREST ]])</f>
        <v>1275.5927096658481</v>
      </c>
      <c r="P107" s="7">
        <f>+Table1[[#This Row],[BEGINNING BALANCE ]]-Table1[[#This Row],[PRINCIPAL ]]-Table1[[#This Row],[EXTRA PAYMENT]]</f>
        <v>192230.52594241628</v>
      </c>
      <c r="Q107" s="5">
        <f>+Table1[[#This Row],[PRINCIPAL ]]+Table1[[#This Row],[EXTRA PAYMENT]]+Q106</f>
        <v>57769.474057583786</v>
      </c>
      <c r="R107" s="7">
        <f>+Table1[[#This Row],[INTEREST ]]+R106</f>
        <v>74892.167747664396</v>
      </c>
    </row>
    <row r="108" spans="1:18" x14ac:dyDescent="0.25">
      <c r="A108">
        <f t="shared" si="17"/>
        <v>105</v>
      </c>
      <c r="B108" s="1">
        <f t="shared" si="18"/>
        <v>43800</v>
      </c>
      <c r="C108" s="6">
        <f t="shared" si="19"/>
        <v>204566.495490467</v>
      </c>
      <c r="D108" s="7">
        <f>PPMT(Inputs!$B$4/12,A108,Inputs!$B$5*12,-'Amortization Table'!$C$4)</f>
        <v>515.01340131121515</v>
      </c>
      <c r="E108" s="7">
        <f>IPMT(Inputs!$B$4/12,'Amortization Table'!A108,Inputs!$B$5*12,-'Amortization Table'!$C$4)</f>
        <v>660.57930835463299</v>
      </c>
      <c r="F108" s="7">
        <f t="shared" si="14"/>
        <v>1175.5927096658481</v>
      </c>
      <c r="G108" s="6">
        <f t="shared" si="15"/>
        <v>204051.48208915579</v>
      </c>
      <c r="H108" s="5">
        <f>+H107+Table1[[#This Row],[PRINCIPAL]]</f>
        <v>45948.517910844137</v>
      </c>
      <c r="I108" s="7">
        <f>Table1[[#This Row],[INTEREST]]+I107</f>
        <v>77488.716604069879</v>
      </c>
      <c r="J108" s="11"/>
      <c r="K108" s="7">
        <f t="shared" si="16"/>
        <v>192230.52594241628</v>
      </c>
      <c r="L108" s="7">
        <f>+References!$B$1-Table1[[#This Row],[INTEREST ]]</f>
        <v>554.84830297679559</v>
      </c>
      <c r="M108" s="5">
        <f>+Inputs!$B$11</f>
        <v>100</v>
      </c>
      <c r="N108" s="7">
        <f>+Table1[[#This Row],[BEGINNING BALANCE ]]*Inputs!$B$4/12</f>
        <v>620.74440668905254</v>
      </c>
      <c r="O108" s="7">
        <f>+SUM(Table1[[#This Row],[PRINCIPAL ]:[INTEREST ]])</f>
        <v>1275.5927096658481</v>
      </c>
      <c r="P108" s="7">
        <f>+Table1[[#This Row],[BEGINNING BALANCE ]]-Table1[[#This Row],[PRINCIPAL ]]-Table1[[#This Row],[EXTRA PAYMENT]]</f>
        <v>191575.6776394395</v>
      </c>
      <c r="Q108" s="5">
        <f>+Table1[[#This Row],[PRINCIPAL ]]+Table1[[#This Row],[EXTRA PAYMENT]]+Q107</f>
        <v>58424.322360560582</v>
      </c>
      <c r="R108" s="7">
        <f>+Table1[[#This Row],[INTEREST ]]+R107</f>
        <v>75512.912154353442</v>
      </c>
    </row>
    <row r="109" spans="1:18" x14ac:dyDescent="0.25">
      <c r="A109">
        <f t="shared" si="17"/>
        <v>106</v>
      </c>
      <c r="B109" s="1">
        <f t="shared" si="18"/>
        <v>43831</v>
      </c>
      <c r="C109" s="6">
        <f t="shared" si="19"/>
        <v>204051.48208915579</v>
      </c>
      <c r="D109" s="7">
        <f>PPMT(Inputs!$B$4/12,A109,Inputs!$B$5*12,-'Amortization Table'!$C$4)</f>
        <v>516.67646541961597</v>
      </c>
      <c r="E109" s="7">
        <f>IPMT(Inputs!$B$4/12,'Amortization Table'!A109,Inputs!$B$5*12,-'Amortization Table'!$C$4)</f>
        <v>658.91624424623228</v>
      </c>
      <c r="F109" s="7">
        <f t="shared" si="14"/>
        <v>1175.5927096658484</v>
      </c>
      <c r="G109" s="6">
        <f t="shared" si="15"/>
        <v>203534.80562373617</v>
      </c>
      <c r="H109" s="5">
        <f>+H108+Table1[[#This Row],[PRINCIPAL]]</f>
        <v>46465.194376263753</v>
      </c>
      <c r="I109" s="7">
        <f>Table1[[#This Row],[INTEREST]]+I108</f>
        <v>78147.632848316105</v>
      </c>
      <c r="J109" s="11"/>
      <c r="K109" s="7">
        <f t="shared" si="16"/>
        <v>191575.6776394395</v>
      </c>
      <c r="L109" s="7">
        <f>+References!$B$1-Table1[[#This Row],[INTEREST ]]</f>
        <v>556.96291728849144</v>
      </c>
      <c r="M109" s="5">
        <f>+Inputs!$B$11</f>
        <v>100</v>
      </c>
      <c r="N109" s="7">
        <f>+Table1[[#This Row],[BEGINNING BALANCE ]]*Inputs!$B$4/12</f>
        <v>618.62979237735669</v>
      </c>
      <c r="O109" s="7">
        <f>+SUM(Table1[[#This Row],[PRINCIPAL ]:[INTEREST ]])</f>
        <v>1275.5927096658481</v>
      </c>
      <c r="P109" s="7">
        <f>+Table1[[#This Row],[BEGINNING BALANCE ]]-Table1[[#This Row],[PRINCIPAL ]]-Table1[[#This Row],[EXTRA PAYMENT]]</f>
        <v>190918.71472215099</v>
      </c>
      <c r="Q109" s="5">
        <f>+Table1[[#This Row],[PRINCIPAL ]]+Table1[[#This Row],[EXTRA PAYMENT]]+Q108</f>
        <v>59081.285277849071</v>
      </c>
      <c r="R109" s="7">
        <f>+Table1[[#This Row],[INTEREST ]]+R108</f>
        <v>76131.541946730795</v>
      </c>
    </row>
    <row r="110" spans="1:18" x14ac:dyDescent="0.25">
      <c r="A110">
        <f t="shared" si="17"/>
        <v>107</v>
      </c>
      <c r="B110" s="1">
        <f t="shared" si="18"/>
        <v>43862</v>
      </c>
      <c r="C110" s="6">
        <f t="shared" si="19"/>
        <v>203534.80562373617</v>
      </c>
      <c r="D110" s="7">
        <f>PPMT(Inputs!$B$4/12,A110,Inputs!$B$5*12,-'Amortization Table'!$C$4)</f>
        <v>518.34489983920014</v>
      </c>
      <c r="E110" s="7">
        <f>IPMT(Inputs!$B$4/12,'Amortization Table'!A110,Inputs!$B$5*12,-'Amortization Table'!$C$4)</f>
        <v>657.24780982664822</v>
      </c>
      <c r="F110" s="7">
        <f t="shared" si="14"/>
        <v>1175.5927096658484</v>
      </c>
      <c r="G110" s="6">
        <f t="shared" si="15"/>
        <v>203016.46072389698</v>
      </c>
      <c r="H110" s="5">
        <f>+H109+Table1[[#This Row],[PRINCIPAL]]</f>
        <v>46983.539276102951</v>
      </c>
      <c r="I110" s="7">
        <f>Table1[[#This Row],[INTEREST]]+I109</f>
        <v>78804.880658142749</v>
      </c>
      <c r="J110" s="11"/>
      <c r="K110" s="7">
        <f t="shared" si="16"/>
        <v>190918.71472215099</v>
      </c>
      <c r="L110" s="7">
        <f>+References!$B$1-Table1[[#This Row],[INTEREST ]]</f>
        <v>559.08436004223552</v>
      </c>
      <c r="M110" s="5">
        <f>+Inputs!$B$11</f>
        <v>100</v>
      </c>
      <c r="N110" s="7">
        <f>+Table1[[#This Row],[BEGINNING BALANCE ]]*Inputs!$B$4/12</f>
        <v>616.50834962361262</v>
      </c>
      <c r="O110" s="7">
        <f>+SUM(Table1[[#This Row],[PRINCIPAL ]:[INTEREST ]])</f>
        <v>1275.5927096658481</v>
      </c>
      <c r="P110" s="7">
        <f>+Table1[[#This Row],[BEGINNING BALANCE ]]-Table1[[#This Row],[PRINCIPAL ]]-Table1[[#This Row],[EXTRA PAYMENT]]</f>
        <v>190259.63036210876</v>
      </c>
      <c r="Q110" s="5">
        <f>+Table1[[#This Row],[PRINCIPAL ]]+Table1[[#This Row],[EXTRA PAYMENT]]+Q109</f>
        <v>59740.369637891308</v>
      </c>
      <c r="R110" s="7">
        <f>+Table1[[#This Row],[INTEREST ]]+R109</f>
        <v>76748.050296354413</v>
      </c>
    </row>
    <row r="111" spans="1:18" x14ac:dyDescent="0.25">
      <c r="A111">
        <f t="shared" si="17"/>
        <v>108</v>
      </c>
      <c r="B111" s="1">
        <f t="shared" si="18"/>
        <v>43891</v>
      </c>
      <c r="C111" s="6">
        <f t="shared" si="19"/>
        <v>203016.46072389698</v>
      </c>
      <c r="D111" s="7">
        <f>PPMT(Inputs!$B$4/12,A111,Inputs!$B$5*12,-'Amortization Table'!$C$4)</f>
        <v>520.01872191159748</v>
      </c>
      <c r="E111" s="7">
        <f>IPMT(Inputs!$B$4/12,'Amortization Table'!A111,Inputs!$B$5*12,-'Amortization Table'!$C$4)</f>
        <v>655.57398775425077</v>
      </c>
      <c r="F111" s="7">
        <f t="shared" si="14"/>
        <v>1175.5927096658484</v>
      </c>
      <c r="G111" s="6">
        <f t="shared" si="15"/>
        <v>202496.44200198539</v>
      </c>
      <c r="H111" s="5">
        <f>+H110+Table1[[#This Row],[PRINCIPAL]]</f>
        <v>47503.557998014549</v>
      </c>
      <c r="I111" s="7">
        <f>Table1[[#This Row],[INTEREST]]+I110</f>
        <v>79460.454645897</v>
      </c>
      <c r="J111" s="11"/>
      <c r="K111" s="7">
        <f t="shared" si="16"/>
        <v>190259.63036210876</v>
      </c>
      <c r="L111" s="7">
        <f>+References!$B$1-Table1[[#This Row],[INTEREST ]]</f>
        <v>561.21265328820527</v>
      </c>
      <c r="M111" s="5">
        <f>+Inputs!$B$11</f>
        <v>100</v>
      </c>
      <c r="N111" s="7">
        <f>+Table1[[#This Row],[BEGINNING BALANCE ]]*Inputs!$B$4/12</f>
        <v>614.38005637764286</v>
      </c>
      <c r="O111" s="7">
        <f>+SUM(Table1[[#This Row],[PRINCIPAL ]:[INTEREST ]])</f>
        <v>1275.5927096658481</v>
      </c>
      <c r="P111" s="7">
        <f>+Table1[[#This Row],[BEGINNING BALANCE ]]-Table1[[#This Row],[PRINCIPAL ]]-Table1[[#This Row],[EXTRA PAYMENT]]</f>
        <v>189598.41770882055</v>
      </c>
      <c r="Q111" s="5">
        <f>+Table1[[#This Row],[PRINCIPAL ]]+Table1[[#This Row],[EXTRA PAYMENT]]+Q110</f>
        <v>60401.582291179511</v>
      </c>
      <c r="R111" s="7">
        <f>+Table1[[#This Row],[INTEREST ]]+R110</f>
        <v>77362.430352732059</v>
      </c>
    </row>
    <row r="112" spans="1:18" x14ac:dyDescent="0.25">
      <c r="A112">
        <f t="shared" si="17"/>
        <v>109</v>
      </c>
      <c r="B112" s="1">
        <f t="shared" si="18"/>
        <v>43922</v>
      </c>
      <c r="C112" s="6">
        <f t="shared" si="19"/>
        <v>202496.44200198539</v>
      </c>
      <c r="D112" s="7">
        <f>PPMT(Inputs!$B$4/12,A112,Inputs!$B$5*12,-'Amortization Table'!$C$4)</f>
        <v>521.69794903443699</v>
      </c>
      <c r="E112" s="7">
        <f>IPMT(Inputs!$B$4/12,'Amortization Table'!A112,Inputs!$B$5*12,-'Amortization Table'!$C$4)</f>
        <v>653.89476063141103</v>
      </c>
      <c r="F112" s="7">
        <f t="shared" si="14"/>
        <v>1175.5927096658479</v>
      </c>
      <c r="G112" s="6">
        <f t="shared" si="15"/>
        <v>201974.74405295096</v>
      </c>
      <c r="H112" s="5">
        <f>+H111+Table1[[#This Row],[PRINCIPAL]]</f>
        <v>48025.255947048987</v>
      </c>
      <c r="I112" s="7">
        <f>Table1[[#This Row],[INTEREST]]+I111</f>
        <v>80114.349406528418</v>
      </c>
      <c r="J112" s="11"/>
      <c r="K112" s="7">
        <f t="shared" si="16"/>
        <v>189598.41770882055</v>
      </c>
      <c r="L112" s="7">
        <f>+References!$B$1-Table1[[#This Row],[INTEREST ]]</f>
        <v>563.34781914778182</v>
      </c>
      <c r="M112" s="5">
        <f>+Inputs!$B$11</f>
        <v>100</v>
      </c>
      <c r="N112" s="7">
        <f>+Table1[[#This Row],[BEGINNING BALANCE ]]*Inputs!$B$4/12</f>
        <v>612.24489051806631</v>
      </c>
      <c r="O112" s="7">
        <f>+SUM(Table1[[#This Row],[PRINCIPAL ]:[INTEREST ]])</f>
        <v>1275.5927096658481</v>
      </c>
      <c r="P112" s="7">
        <f>+Table1[[#This Row],[BEGINNING BALANCE ]]-Table1[[#This Row],[PRINCIPAL ]]-Table1[[#This Row],[EXTRA PAYMENT]]</f>
        <v>188935.06988967277</v>
      </c>
      <c r="Q112" s="5">
        <f>+Table1[[#This Row],[PRINCIPAL ]]+Table1[[#This Row],[EXTRA PAYMENT]]+Q111</f>
        <v>61064.930110327296</v>
      </c>
      <c r="R112" s="7">
        <f>+Table1[[#This Row],[INTEREST ]]+R111</f>
        <v>77974.675243250123</v>
      </c>
    </row>
    <row r="113" spans="1:18" x14ac:dyDescent="0.25">
      <c r="A113">
        <f t="shared" si="17"/>
        <v>110</v>
      </c>
      <c r="B113" s="1">
        <f t="shared" si="18"/>
        <v>43952</v>
      </c>
      <c r="C113" s="6">
        <f t="shared" si="19"/>
        <v>201974.74405295096</v>
      </c>
      <c r="D113" s="7">
        <f>PPMT(Inputs!$B$4/12,A113,Inputs!$B$5*12,-'Amortization Table'!$C$4)</f>
        <v>523.38259866152748</v>
      </c>
      <c r="E113" s="7">
        <f>IPMT(Inputs!$B$4/12,'Amortization Table'!A113,Inputs!$B$5*12,-'Amortization Table'!$C$4)</f>
        <v>652.21011100432077</v>
      </c>
      <c r="F113" s="7">
        <f t="shared" si="14"/>
        <v>1175.5927096658484</v>
      </c>
      <c r="G113" s="6">
        <f t="shared" si="15"/>
        <v>201451.36145428944</v>
      </c>
      <c r="H113" s="5">
        <f>+H112+Table1[[#This Row],[PRINCIPAL]]</f>
        <v>48548.638545710513</v>
      </c>
      <c r="I113" s="7">
        <f>Table1[[#This Row],[INTEREST]]+I112</f>
        <v>80766.559517532733</v>
      </c>
      <c r="J113" s="11"/>
      <c r="K113" s="7">
        <f t="shared" si="16"/>
        <v>188935.06988967277</v>
      </c>
      <c r="L113" s="7">
        <f>+References!$B$1-Table1[[#This Row],[INTEREST ]]</f>
        <v>565.48987981377979</v>
      </c>
      <c r="M113" s="5">
        <f>+Inputs!$B$11</f>
        <v>100</v>
      </c>
      <c r="N113" s="7">
        <f>+Table1[[#This Row],[BEGINNING BALANCE ]]*Inputs!$B$4/12</f>
        <v>610.10282985206834</v>
      </c>
      <c r="O113" s="7">
        <f>+SUM(Table1[[#This Row],[PRINCIPAL ]:[INTEREST ]])</f>
        <v>1275.5927096658481</v>
      </c>
      <c r="P113" s="7">
        <f>+Table1[[#This Row],[BEGINNING BALANCE ]]-Table1[[#This Row],[PRINCIPAL ]]-Table1[[#This Row],[EXTRA PAYMENT]]</f>
        <v>188269.580009859</v>
      </c>
      <c r="Q113" s="5">
        <f>+Table1[[#This Row],[PRINCIPAL ]]+Table1[[#This Row],[EXTRA PAYMENT]]+Q112</f>
        <v>61730.419990141076</v>
      </c>
      <c r="R113" s="7">
        <f>+Table1[[#This Row],[INTEREST ]]+R112</f>
        <v>78584.778073102192</v>
      </c>
    </row>
    <row r="114" spans="1:18" x14ac:dyDescent="0.25">
      <c r="A114">
        <f t="shared" si="17"/>
        <v>111</v>
      </c>
      <c r="B114" s="1">
        <f t="shared" si="18"/>
        <v>43983</v>
      </c>
      <c r="C114" s="6">
        <f t="shared" si="19"/>
        <v>201451.36145428944</v>
      </c>
      <c r="D114" s="7">
        <f>PPMT(Inputs!$B$4/12,A114,Inputs!$B$5*12,-'Amortization Table'!$C$4)</f>
        <v>525.0726883030386</v>
      </c>
      <c r="E114" s="7">
        <f>IPMT(Inputs!$B$4/12,'Amortization Table'!A114,Inputs!$B$5*12,-'Amortization Table'!$C$4)</f>
        <v>650.52002136280964</v>
      </c>
      <c r="F114" s="7">
        <f t="shared" si="14"/>
        <v>1175.5927096658484</v>
      </c>
      <c r="G114" s="6">
        <f t="shared" si="15"/>
        <v>200926.28876598639</v>
      </c>
      <c r="H114" s="5">
        <f>+H113+Table1[[#This Row],[PRINCIPAL]]</f>
        <v>49073.71123401355</v>
      </c>
      <c r="I114" s="7">
        <f>Table1[[#This Row],[INTEREST]]+I113</f>
        <v>81417.079538895545</v>
      </c>
      <c r="J114" s="11"/>
      <c r="K114" s="7">
        <f t="shared" si="16"/>
        <v>188269.580009859</v>
      </c>
      <c r="L114" s="7">
        <f>+References!$B$1-Table1[[#This Row],[INTEREST ]]</f>
        <v>567.63885755067849</v>
      </c>
      <c r="M114" s="5">
        <f>+Inputs!$B$11</f>
        <v>100</v>
      </c>
      <c r="N114" s="7">
        <f>+Table1[[#This Row],[BEGINNING BALANCE ]]*Inputs!$B$4/12</f>
        <v>607.95385211516964</v>
      </c>
      <c r="O114" s="7">
        <f>+SUM(Table1[[#This Row],[PRINCIPAL ]:[INTEREST ]])</f>
        <v>1275.5927096658481</v>
      </c>
      <c r="P114" s="7">
        <f>+Table1[[#This Row],[BEGINNING BALANCE ]]-Table1[[#This Row],[PRINCIPAL ]]-Table1[[#This Row],[EXTRA PAYMENT]]</f>
        <v>187601.94115230831</v>
      </c>
      <c r="Q114" s="5">
        <f>+Table1[[#This Row],[PRINCIPAL ]]+Table1[[#This Row],[EXTRA PAYMENT]]+Q113</f>
        <v>62398.058847691755</v>
      </c>
      <c r="R114" s="7">
        <f>+Table1[[#This Row],[INTEREST ]]+R113</f>
        <v>79192.731925217362</v>
      </c>
    </row>
    <row r="115" spans="1:18" x14ac:dyDescent="0.25">
      <c r="A115">
        <f t="shared" si="17"/>
        <v>112</v>
      </c>
      <c r="B115" s="1">
        <f t="shared" si="18"/>
        <v>44013</v>
      </c>
      <c r="C115" s="6">
        <f t="shared" si="19"/>
        <v>200926.28876598639</v>
      </c>
      <c r="D115" s="7">
        <f>PPMT(Inputs!$B$4/12,A115,Inputs!$B$5*12,-'Amortization Table'!$C$4)</f>
        <v>526.76823552568385</v>
      </c>
      <c r="E115" s="7">
        <f>IPMT(Inputs!$B$4/12,'Amortization Table'!A115,Inputs!$B$5*12,-'Amortization Table'!$C$4)</f>
        <v>648.82447414016428</v>
      </c>
      <c r="F115" s="7">
        <f t="shared" si="14"/>
        <v>1175.5927096658481</v>
      </c>
      <c r="G115" s="6">
        <f t="shared" si="15"/>
        <v>200399.52053046069</v>
      </c>
      <c r="H115" s="5">
        <f>+H114+Table1[[#This Row],[PRINCIPAL]]</f>
        <v>49600.479469539234</v>
      </c>
      <c r="I115" s="7">
        <f>Table1[[#This Row],[INTEREST]]+I114</f>
        <v>82065.904013035703</v>
      </c>
      <c r="J115" s="11"/>
      <c r="K115" s="7">
        <f t="shared" si="16"/>
        <v>187601.94115230831</v>
      </c>
      <c r="L115" s="7">
        <f>+References!$B$1-Table1[[#This Row],[INTEREST ]]</f>
        <v>569.79477469485255</v>
      </c>
      <c r="M115" s="5">
        <f>+Inputs!$B$11</f>
        <v>100</v>
      </c>
      <c r="N115" s="7">
        <f>+Table1[[#This Row],[BEGINNING BALANCE ]]*Inputs!$B$4/12</f>
        <v>605.79793497099558</v>
      </c>
      <c r="O115" s="7">
        <f>+SUM(Table1[[#This Row],[PRINCIPAL ]:[INTEREST ]])</f>
        <v>1275.5927096658481</v>
      </c>
      <c r="P115" s="7">
        <f>+Table1[[#This Row],[BEGINNING BALANCE ]]-Table1[[#This Row],[PRINCIPAL ]]-Table1[[#This Row],[EXTRA PAYMENT]]</f>
        <v>186932.14637761345</v>
      </c>
      <c r="Q115" s="5">
        <f>+Table1[[#This Row],[PRINCIPAL ]]+Table1[[#This Row],[EXTRA PAYMENT]]+Q114</f>
        <v>63067.85362238661</v>
      </c>
      <c r="R115" s="7">
        <f>+Table1[[#This Row],[INTEREST ]]+R114</f>
        <v>79798.529860188355</v>
      </c>
    </row>
    <row r="116" spans="1:18" x14ac:dyDescent="0.25">
      <c r="A116">
        <f t="shared" si="17"/>
        <v>113</v>
      </c>
      <c r="B116" s="1">
        <f t="shared" si="18"/>
        <v>44044</v>
      </c>
      <c r="C116" s="6">
        <f t="shared" si="19"/>
        <v>200399.52053046069</v>
      </c>
      <c r="D116" s="7">
        <f>PPMT(Inputs!$B$4/12,A116,Inputs!$B$5*12,-'Amortization Table'!$C$4)</f>
        <v>528.46925795290213</v>
      </c>
      <c r="E116" s="7">
        <f>IPMT(Inputs!$B$4/12,'Amortization Table'!A116,Inputs!$B$5*12,-'Amortization Table'!$C$4)</f>
        <v>647.12345171294601</v>
      </c>
      <c r="F116" s="7">
        <f t="shared" si="14"/>
        <v>1175.5927096658481</v>
      </c>
      <c r="G116" s="6">
        <f t="shared" si="15"/>
        <v>199871.05127250779</v>
      </c>
      <c r="H116" s="5">
        <f>+H115+Table1[[#This Row],[PRINCIPAL]]</f>
        <v>50128.948727492134</v>
      </c>
      <c r="I116" s="7">
        <f>Table1[[#This Row],[INTEREST]]+I115</f>
        <v>82713.027464748651</v>
      </c>
      <c r="J116" s="11"/>
      <c r="K116" s="7">
        <f t="shared" si="16"/>
        <v>186932.14637761345</v>
      </c>
      <c r="L116" s="7">
        <f>+References!$B$1-Table1[[#This Row],[INTEREST ]]</f>
        <v>571.95765365480474</v>
      </c>
      <c r="M116" s="5">
        <f>+Inputs!$B$11</f>
        <v>100</v>
      </c>
      <c r="N116" s="7">
        <f>+Table1[[#This Row],[BEGINNING BALANCE ]]*Inputs!$B$4/12</f>
        <v>603.63505601104339</v>
      </c>
      <c r="O116" s="7">
        <f>+SUM(Table1[[#This Row],[PRINCIPAL ]:[INTEREST ]])</f>
        <v>1275.5927096658481</v>
      </c>
      <c r="P116" s="7">
        <f>+Table1[[#This Row],[BEGINNING BALANCE ]]-Table1[[#This Row],[PRINCIPAL ]]-Table1[[#This Row],[EXTRA PAYMENT]]</f>
        <v>186260.18872395865</v>
      </c>
      <c r="Q116" s="5">
        <f>+Table1[[#This Row],[PRINCIPAL ]]+Table1[[#This Row],[EXTRA PAYMENT]]+Q115</f>
        <v>63739.811276041415</v>
      </c>
      <c r="R116" s="7">
        <f>+Table1[[#This Row],[INTEREST ]]+R115</f>
        <v>80402.164916199399</v>
      </c>
    </row>
    <row r="117" spans="1:18" x14ac:dyDescent="0.25">
      <c r="A117">
        <f t="shared" si="17"/>
        <v>114</v>
      </c>
      <c r="B117" s="1">
        <f t="shared" si="18"/>
        <v>44075</v>
      </c>
      <c r="C117" s="6">
        <f t="shared" si="19"/>
        <v>199871.05127250779</v>
      </c>
      <c r="D117" s="7">
        <f>PPMT(Inputs!$B$4/12,A117,Inputs!$B$5*12,-'Amortization Table'!$C$4)</f>
        <v>530.17577326504181</v>
      </c>
      <c r="E117" s="7">
        <f>IPMT(Inputs!$B$4/12,'Amortization Table'!A117,Inputs!$B$5*12,-'Amortization Table'!$C$4)</f>
        <v>645.41693640080643</v>
      </c>
      <c r="F117" s="7">
        <f t="shared" si="14"/>
        <v>1175.5927096658484</v>
      </c>
      <c r="G117" s="6">
        <f t="shared" si="15"/>
        <v>199340.87549924274</v>
      </c>
      <c r="H117" s="5">
        <f>+H116+Table1[[#This Row],[PRINCIPAL]]</f>
        <v>50659.124500757178</v>
      </c>
      <c r="I117" s="7">
        <f>Table1[[#This Row],[INTEREST]]+I116</f>
        <v>83358.444401149463</v>
      </c>
      <c r="J117" s="11"/>
      <c r="K117" s="7">
        <f t="shared" si="16"/>
        <v>186260.18872395865</v>
      </c>
      <c r="L117" s="7">
        <f>+References!$B$1-Table1[[#This Row],[INTEREST ]]</f>
        <v>574.1275169113984</v>
      </c>
      <c r="M117" s="5">
        <f>+Inputs!$B$11</f>
        <v>100</v>
      </c>
      <c r="N117" s="7">
        <f>+Table1[[#This Row],[BEGINNING BALANCE ]]*Inputs!$B$4/12</f>
        <v>601.46519275444973</v>
      </c>
      <c r="O117" s="7">
        <f>+SUM(Table1[[#This Row],[PRINCIPAL ]:[INTEREST ]])</f>
        <v>1275.5927096658481</v>
      </c>
      <c r="P117" s="7">
        <f>+Table1[[#This Row],[BEGINNING BALANCE ]]-Table1[[#This Row],[PRINCIPAL ]]-Table1[[#This Row],[EXTRA PAYMENT]]</f>
        <v>185586.06120704726</v>
      </c>
      <c r="Q117" s="5">
        <f>+Table1[[#This Row],[PRINCIPAL ]]+Table1[[#This Row],[EXTRA PAYMENT]]+Q116</f>
        <v>64413.938792952817</v>
      </c>
      <c r="R117" s="7">
        <f>+Table1[[#This Row],[INTEREST ]]+R116</f>
        <v>81003.630108953847</v>
      </c>
    </row>
    <row r="118" spans="1:18" x14ac:dyDescent="0.25">
      <c r="A118">
        <f t="shared" si="17"/>
        <v>115</v>
      </c>
      <c r="B118" s="1">
        <f t="shared" si="18"/>
        <v>44105</v>
      </c>
      <c r="C118" s="6">
        <f t="shared" si="19"/>
        <v>199340.87549924274</v>
      </c>
      <c r="D118" s="7">
        <f>PPMT(Inputs!$B$4/12,A118,Inputs!$B$5*12,-'Amortization Table'!$C$4)</f>
        <v>531.88779919954345</v>
      </c>
      <c r="E118" s="7">
        <f>IPMT(Inputs!$B$4/12,'Amortization Table'!A118,Inputs!$B$5*12,-'Amortization Table'!$C$4)</f>
        <v>643.70491046630468</v>
      </c>
      <c r="F118" s="7">
        <f t="shared" si="14"/>
        <v>1175.5927096658481</v>
      </c>
      <c r="G118" s="6">
        <f t="shared" si="15"/>
        <v>198808.98770004319</v>
      </c>
      <c r="H118" s="5">
        <f>+H117+Table1[[#This Row],[PRINCIPAL]]</f>
        <v>51191.012299956725</v>
      </c>
      <c r="I118" s="7">
        <f>Table1[[#This Row],[INTEREST]]+I117</f>
        <v>84002.149311615765</v>
      </c>
      <c r="J118" s="11"/>
      <c r="K118" s="7">
        <f t="shared" si="16"/>
        <v>185586.06120704726</v>
      </c>
      <c r="L118" s="7">
        <f>+References!$B$1-Table1[[#This Row],[INTEREST ]]</f>
        <v>576.30438701809135</v>
      </c>
      <c r="M118" s="5">
        <f>+Inputs!$B$11</f>
        <v>100</v>
      </c>
      <c r="N118" s="7">
        <f>+Table1[[#This Row],[BEGINNING BALANCE ]]*Inputs!$B$4/12</f>
        <v>599.28832264775679</v>
      </c>
      <c r="O118" s="7">
        <f>+SUM(Table1[[#This Row],[PRINCIPAL ]:[INTEREST ]])</f>
        <v>1275.5927096658481</v>
      </c>
      <c r="P118" s="7">
        <f>+Table1[[#This Row],[BEGINNING BALANCE ]]-Table1[[#This Row],[PRINCIPAL ]]-Table1[[#This Row],[EXTRA PAYMENT]]</f>
        <v>184909.75682002917</v>
      </c>
      <c r="Q118" s="5">
        <f>+Table1[[#This Row],[PRINCIPAL ]]+Table1[[#This Row],[EXTRA PAYMENT]]+Q117</f>
        <v>65090.243179970908</v>
      </c>
      <c r="R118" s="7">
        <f>+Table1[[#This Row],[INTEREST ]]+R117</f>
        <v>81602.918431601604</v>
      </c>
    </row>
    <row r="119" spans="1:18" x14ac:dyDescent="0.25">
      <c r="A119">
        <f t="shared" si="17"/>
        <v>116</v>
      </c>
      <c r="B119" s="1">
        <f t="shared" si="18"/>
        <v>44136</v>
      </c>
      <c r="C119" s="6">
        <f t="shared" si="19"/>
        <v>198808.98770004319</v>
      </c>
      <c r="D119" s="7">
        <f>PPMT(Inputs!$B$4/12,A119,Inputs!$B$5*12,-'Amortization Table'!$C$4)</f>
        <v>533.6053535511254</v>
      </c>
      <c r="E119" s="7">
        <f>IPMT(Inputs!$B$4/12,'Amortization Table'!A119,Inputs!$B$5*12,-'Amortization Table'!$C$4)</f>
        <v>641.98735611472284</v>
      </c>
      <c r="F119" s="7">
        <f t="shared" si="14"/>
        <v>1175.5927096658484</v>
      </c>
      <c r="G119" s="6">
        <f t="shared" si="15"/>
        <v>198275.38234649206</v>
      </c>
      <c r="H119" s="5">
        <f>+H118+Table1[[#This Row],[PRINCIPAL]]</f>
        <v>51724.617653507848</v>
      </c>
      <c r="I119" s="7">
        <f>Table1[[#This Row],[INTEREST]]+I118</f>
        <v>84644.13666773049</v>
      </c>
      <c r="J119" s="11"/>
      <c r="K119" s="7">
        <f t="shared" si="16"/>
        <v>184909.75682002917</v>
      </c>
      <c r="L119" s="7">
        <f>+References!$B$1-Table1[[#This Row],[INTEREST ]]</f>
        <v>578.48828660117067</v>
      </c>
      <c r="M119" s="5">
        <f>+Inputs!$B$11</f>
        <v>100</v>
      </c>
      <c r="N119" s="7">
        <f>+Table1[[#This Row],[BEGINNING BALANCE ]]*Inputs!$B$4/12</f>
        <v>597.10442306467746</v>
      </c>
      <c r="O119" s="7">
        <f>+SUM(Table1[[#This Row],[PRINCIPAL ]:[INTEREST ]])</f>
        <v>1275.5927096658481</v>
      </c>
      <c r="P119" s="7">
        <f>+Table1[[#This Row],[BEGINNING BALANCE ]]-Table1[[#This Row],[PRINCIPAL ]]-Table1[[#This Row],[EXTRA PAYMENT]]</f>
        <v>184231.268533428</v>
      </c>
      <c r="Q119" s="5">
        <f>+Table1[[#This Row],[PRINCIPAL ]]+Table1[[#This Row],[EXTRA PAYMENT]]+Q118</f>
        <v>65768.731466572077</v>
      </c>
      <c r="R119" s="7">
        <f>+Table1[[#This Row],[INTEREST ]]+R118</f>
        <v>82200.022854666284</v>
      </c>
    </row>
    <row r="120" spans="1:18" x14ac:dyDescent="0.25">
      <c r="A120">
        <f t="shared" si="17"/>
        <v>117</v>
      </c>
      <c r="B120" s="1">
        <f t="shared" si="18"/>
        <v>44166</v>
      </c>
      <c r="C120" s="6">
        <f t="shared" si="19"/>
        <v>198275.38234649206</v>
      </c>
      <c r="D120" s="7">
        <f>PPMT(Inputs!$B$4/12,A120,Inputs!$B$5*12,-'Amortization Table'!$C$4)</f>
        <v>535.32845417196745</v>
      </c>
      <c r="E120" s="7">
        <f>IPMT(Inputs!$B$4/12,'Amortization Table'!A120,Inputs!$B$5*12,-'Amortization Table'!$C$4)</f>
        <v>640.26425549388068</v>
      </c>
      <c r="F120" s="7">
        <f t="shared" si="14"/>
        <v>1175.5927096658481</v>
      </c>
      <c r="G120" s="6">
        <f t="shared" si="15"/>
        <v>197740.05389232008</v>
      </c>
      <c r="H120" s="5">
        <f>+H119+Table1[[#This Row],[PRINCIPAL]]</f>
        <v>52259.946107679818</v>
      </c>
      <c r="I120" s="7">
        <f>Table1[[#This Row],[INTEREST]]+I119</f>
        <v>85284.40092322437</v>
      </c>
      <c r="J120" s="11"/>
      <c r="K120" s="7">
        <f t="shared" si="16"/>
        <v>184231.268533428</v>
      </c>
      <c r="L120" s="7">
        <f>+References!$B$1-Table1[[#This Row],[INTEREST ]]</f>
        <v>580.67923835998693</v>
      </c>
      <c r="M120" s="5">
        <f>+Inputs!$B$11</f>
        <v>100</v>
      </c>
      <c r="N120" s="7">
        <f>+Table1[[#This Row],[BEGINNING BALANCE ]]*Inputs!$B$4/12</f>
        <v>594.91347130586121</v>
      </c>
      <c r="O120" s="7">
        <f>+SUM(Table1[[#This Row],[PRINCIPAL ]:[INTEREST ]])</f>
        <v>1275.5927096658481</v>
      </c>
      <c r="P120" s="7">
        <f>+Table1[[#This Row],[BEGINNING BALANCE ]]-Table1[[#This Row],[PRINCIPAL ]]-Table1[[#This Row],[EXTRA PAYMENT]]</f>
        <v>183550.589295068</v>
      </c>
      <c r="Q120" s="5">
        <f>+Table1[[#This Row],[PRINCIPAL ]]+Table1[[#This Row],[EXTRA PAYMENT]]+Q119</f>
        <v>66449.410704932059</v>
      </c>
      <c r="R120" s="7">
        <f>+Table1[[#This Row],[INTEREST ]]+R119</f>
        <v>82794.936325972143</v>
      </c>
    </row>
    <row r="121" spans="1:18" x14ac:dyDescent="0.25">
      <c r="A121">
        <f t="shared" si="17"/>
        <v>118</v>
      </c>
      <c r="B121" s="1">
        <f t="shared" si="18"/>
        <v>44197</v>
      </c>
      <c r="C121" s="6">
        <f t="shared" si="19"/>
        <v>197740.05389232008</v>
      </c>
      <c r="D121" s="7">
        <f>PPMT(Inputs!$B$4/12,A121,Inputs!$B$5*12,-'Amortization Table'!$C$4)</f>
        <v>537.05711897189781</v>
      </c>
      <c r="E121" s="7">
        <f>IPMT(Inputs!$B$4/12,'Amortization Table'!A121,Inputs!$B$5*12,-'Amortization Table'!$C$4)</f>
        <v>638.53559069395033</v>
      </c>
      <c r="F121" s="7">
        <f t="shared" si="14"/>
        <v>1175.5927096658481</v>
      </c>
      <c r="G121" s="6">
        <f t="shared" si="15"/>
        <v>197202.99677334819</v>
      </c>
      <c r="H121" s="5">
        <f>+H120+Table1[[#This Row],[PRINCIPAL]]</f>
        <v>52797.003226651716</v>
      </c>
      <c r="I121" s="7">
        <f>Table1[[#This Row],[INTEREST]]+I120</f>
        <v>85922.936513918321</v>
      </c>
      <c r="J121" s="11"/>
      <c r="K121" s="7">
        <f t="shared" si="16"/>
        <v>183550.589295068</v>
      </c>
      <c r="L121" s="7">
        <f>+References!$B$1-Table1[[#This Row],[INTEREST ]]</f>
        <v>582.87726506719105</v>
      </c>
      <c r="M121" s="5">
        <f>+Inputs!$B$11</f>
        <v>100</v>
      </c>
      <c r="N121" s="7">
        <f>+Table1[[#This Row],[BEGINNING BALANCE ]]*Inputs!$B$4/12</f>
        <v>592.71544459865709</v>
      </c>
      <c r="O121" s="7">
        <f>+SUM(Table1[[#This Row],[PRINCIPAL ]:[INTEREST ]])</f>
        <v>1275.5927096658481</v>
      </c>
      <c r="P121" s="7">
        <f>+Table1[[#This Row],[BEGINNING BALANCE ]]-Table1[[#This Row],[PRINCIPAL ]]-Table1[[#This Row],[EXTRA PAYMENT]]</f>
        <v>182867.71203000081</v>
      </c>
      <c r="Q121" s="5">
        <f>+Table1[[#This Row],[PRINCIPAL ]]+Table1[[#This Row],[EXTRA PAYMENT]]+Q120</f>
        <v>67132.287969999248</v>
      </c>
      <c r="R121" s="7">
        <f>+Table1[[#This Row],[INTEREST ]]+R120</f>
        <v>83387.651770570796</v>
      </c>
    </row>
    <row r="122" spans="1:18" x14ac:dyDescent="0.25">
      <c r="A122">
        <f t="shared" si="17"/>
        <v>119</v>
      </c>
      <c r="B122" s="1">
        <f t="shared" si="18"/>
        <v>44228</v>
      </c>
      <c r="C122" s="6">
        <f t="shared" si="19"/>
        <v>197202.99677334819</v>
      </c>
      <c r="D122" s="7">
        <f>PPMT(Inputs!$B$4/12,A122,Inputs!$B$5*12,-'Amortization Table'!$C$4)</f>
        <v>538.79136591857787</v>
      </c>
      <c r="E122" s="7">
        <f>IPMT(Inputs!$B$4/12,'Amortization Table'!A122,Inputs!$B$5*12,-'Amortization Table'!$C$4)</f>
        <v>636.80134374727015</v>
      </c>
      <c r="F122" s="7">
        <f t="shared" si="14"/>
        <v>1175.5927096658479</v>
      </c>
      <c r="G122" s="6">
        <f t="shared" si="15"/>
        <v>196664.2054074296</v>
      </c>
      <c r="H122" s="5">
        <f>+H121+Table1[[#This Row],[PRINCIPAL]]</f>
        <v>53335.794592570295</v>
      </c>
      <c r="I122" s="7">
        <f>Table1[[#This Row],[INTEREST]]+I121</f>
        <v>86559.73785766559</v>
      </c>
      <c r="J122" s="11"/>
      <c r="K122" s="7">
        <f t="shared" si="16"/>
        <v>182867.71203000081</v>
      </c>
      <c r="L122" s="7">
        <f>+References!$B$1-Table1[[#This Row],[INTEREST ]]</f>
        <v>585.08238956897048</v>
      </c>
      <c r="M122" s="5">
        <f>+Inputs!$B$11</f>
        <v>100</v>
      </c>
      <c r="N122" s="7">
        <f>+Table1[[#This Row],[BEGINNING BALANCE ]]*Inputs!$B$4/12</f>
        <v>590.51032009687765</v>
      </c>
      <c r="O122" s="7">
        <f>+SUM(Table1[[#This Row],[PRINCIPAL ]:[INTEREST ]])</f>
        <v>1275.5927096658481</v>
      </c>
      <c r="P122" s="7">
        <f>+Table1[[#This Row],[BEGINNING BALANCE ]]-Table1[[#This Row],[PRINCIPAL ]]-Table1[[#This Row],[EXTRA PAYMENT]]</f>
        <v>182182.62964043184</v>
      </c>
      <c r="Q122" s="5">
        <f>+Table1[[#This Row],[PRINCIPAL ]]+Table1[[#This Row],[EXTRA PAYMENT]]+Q121</f>
        <v>67817.370359568216</v>
      </c>
      <c r="R122" s="7">
        <f>+Table1[[#This Row],[INTEREST ]]+R121</f>
        <v>83978.162090667669</v>
      </c>
    </row>
    <row r="123" spans="1:18" x14ac:dyDescent="0.25">
      <c r="A123">
        <f t="shared" si="17"/>
        <v>120</v>
      </c>
      <c r="B123" s="1">
        <f t="shared" si="18"/>
        <v>44256</v>
      </c>
      <c r="C123" s="6">
        <f t="shared" si="19"/>
        <v>196664.2054074296</v>
      </c>
      <c r="D123" s="7">
        <f>PPMT(Inputs!$B$4/12,A123,Inputs!$B$5*12,-'Amortization Table'!$C$4)</f>
        <v>540.53121303769001</v>
      </c>
      <c r="E123" s="7">
        <f>IPMT(Inputs!$B$4/12,'Amortization Table'!A123,Inputs!$B$5*12,-'Amortization Table'!$C$4)</f>
        <v>635.06149662815824</v>
      </c>
      <c r="F123" s="7">
        <f t="shared" si="14"/>
        <v>1175.5927096658484</v>
      </c>
      <c r="G123" s="6">
        <f t="shared" si="15"/>
        <v>196123.6741943919</v>
      </c>
      <c r="H123" s="5">
        <f>+H122+Table1[[#This Row],[PRINCIPAL]]</f>
        <v>53876.325805607987</v>
      </c>
      <c r="I123" s="7">
        <f>Table1[[#This Row],[INTEREST]]+I122</f>
        <v>87194.799354293747</v>
      </c>
      <c r="J123" s="11"/>
      <c r="K123" s="7">
        <f t="shared" si="16"/>
        <v>182182.62964043184</v>
      </c>
      <c r="L123" s="7">
        <f>+References!$B$1-Table1[[#This Row],[INTEREST ]]</f>
        <v>587.29463478528703</v>
      </c>
      <c r="M123" s="5">
        <f>+Inputs!$B$11</f>
        <v>100</v>
      </c>
      <c r="N123" s="7">
        <f>+Table1[[#This Row],[BEGINNING BALANCE ]]*Inputs!$B$4/12</f>
        <v>588.2980748805611</v>
      </c>
      <c r="O123" s="7">
        <f>+SUM(Table1[[#This Row],[PRINCIPAL ]:[INTEREST ]])</f>
        <v>1275.5927096658481</v>
      </c>
      <c r="P123" s="7">
        <f>+Table1[[#This Row],[BEGINNING BALANCE ]]-Table1[[#This Row],[PRINCIPAL ]]-Table1[[#This Row],[EXTRA PAYMENT]]</f>
        <v>181495.33500564654</v>
      </c>
      <c r="Q123" s="5">
        <f>+Table1[[#This Row],[PRINCIPAL ]]+Table1[[#This Row],[EXTRA PAYMENT]]+Q122</f>
        <v>68504.664994353501</v>
      </c>
      <c r="R123" s="7">
        <f>+Table1[[#This Row],[INTEREST ]]+R122</f>
        <v>84566.460165548226</v>
      </c>
    </row>
    <row r="124" spans="1:18" x14ac:dyDescent="0.25">
      <c r="A124">
        <f t="shared" si="17"/>
        <v>121</v>
      </c>
      <c r="B124" s="1">
        <f t="shared" si="18"/>
        <v>44287</v>
      </c>
      <c r="C124" s="6">
        <f t="shared" si="19"/>
        <v>196123.6741943919</v>
      </c>
      <c r="D124" s="7">
        <f>PPMT(Inputs!$B$4/12,A124,Inputs!$B$5*12,-'Amortization Table'!$C$4)</f>
        <v>542.27667841312416</v>
      </c>
      <c r="E124" s="7">
        <f>IPMT(Inputs!$B$4/12,'Amortization Table'!A124,Inputs!$B$5*12,-'Amortization Table'!$C$4)</f>
        <v>633.31603125272409</v>
      </c>
      <c r="F124" s="7">
        <f t="shared" si="14"/>
        <v>1175.5927096658484</v>
      </c>
      <c r="G124" s="6">
        <f t="shared" si="15"/>
        <v>195581.39751597878</v>
      </c>
      <c r="H124" s="5">
        <f>+H123+Table1[[#This Row],[PRINCIPAL]]</f>
        <v>54418.60248402111</v>
      </c>
      <c r="I124" s="7">
        <f>Table1[[#This Row],[INTEREST]]+I123</f>
        <v>87828.115385546465</v>
      </c>
      <c r="J124" s="11"/>
      <c r="K124" s="7">
        <f t="shared" si="16"/>
        <v>181495.33500564654</v>
      </c>
      <c r="L124" s="7">
        <f>+References!$B$1-Table1[[#This Row],[INTEREST ]]</f>
        <v>589.51402371011454</v>
      </c>
      <c r="M124" s="5">
        <f>+Inputs!$B$11</f>
        <v>100</v>
      </c>
      <c r="N124" s="7">
        <f>+Table1[[#This Row],[BEGINNING BALANCE ]]*Inputs!$B$4/12</f>
        <v>586.07868595573359</v>
      </c>
      <c r="O124" s="7">
        <f>+SUM(Table1[[#This Row],[PRINCIPAL ]:[INTEREST ]])</f>
        <v>1275.5927096658481</v>
      </c>
      <c r="P124" s="7">
        <f>+Table1[[#This Row],[BEGINNING BALANCE ]]-Table1[[#This Row],[PRINCIPAL ]]-Table1[[#This Row],[EXTRA PAYMENT]]</f>
        <v>180805.82098193644</v>
      </c>
      <c r="Q124" s="5">
        <f>+Table1[[#This Row],[PRINCIPAL ]]+Table1[[#This Row],[EXTRA PAYMENT]]+Q123</f>
        <v>69194.179018063616</v>
      </c>
      <c r="R124" s="7">
        <f>+Table1[[#This Row],[INTEREST ]]+R123</f>
        <v>85152.538851503952</v>
      </c>
    </row>
    <row r="125" spans="1:18" x14ac:dyDescent="0.25">
      <c r="A125">
        <f t="shared" si="17"/>
        <v>122</v>
      </c>
      <c r="B125" s="1">
        <f t="shared" si="18"/>
        <v>44317</v>
      </c>
      <c r="C125" s="6">
        <f t="shared" si="19"/>
        <v>195581.39751597878</v>
      </c>
      <c r="D125" s="7">
        <f>PPMT(Inputs!$B$4/12,A125,Inputs!$B$5*12,-'Amortization Table'!$C$4)</f>
        <v>544.02778018716651</v>
      </c>
      <c r="E125" s="7">
        <f>IPMT(Inputs!$B$4/12,'Amortization Table'!A125,Inputs!$B$5*12,-'Amortization Table'!$C$4)</f>
        <v>631.56492947868162</v>
      </c>
      <c r="F125" s="7">
        <f t="shared" si="14"/>
        <v>1175.5927096658481</v>
      </c>
      <c r="G125" s="6">
        <f t="shared" si="15"/>
        <v>195037.36973579161</v>
      </c>
      <c r="H125" s="5">
        <f>+H124+Table1[[#This Row],[PRINCIPAL]]</f>
        <v>54962.630264208274</v>
      </c>
      <c r="I125" s="7">
        <f>Table1[[#This Row],[INTEREST]]+I124</f>
        <v>88459.680315025151</v>
      </c>
      <c r="J125" s="11"/>
      <c r="K125" s="7">
        <f t="shared" si="16"/>
        <v>180805.82098193644</v>
      </c>
      <c r="L125" s="7">
        <f>+References!$B$1-Table1[[#This Row],[INTEREST ]]</f>
        <v>591.74057941167837</v>
      </c>
      <c r="M125" s="5">
        <f>+Inputs!$B$11</f>
        <v>100</v>
      </c>
      <c r="N125" s="7">
        <f>+Table1[[#This Row],[BEGINNING BALANCE ]]*Inputs!$B$4/12</f>
        <v>583.85213025416977</v>
      </c>
      <c r="O125" s="7">
        <f>+SUM(Table1[[#This Row],[PRINCIPAL ]:[INTEREST ]])</f>
        <v>1275.5927096658481</v>
      </c>
      <c r="P125" s="7">
        <f>+Table1[[#This Row],[BEGINNING BALANCE ]]-Table1[[#This Row],[PRINCIPAL ]]-Table1[[#This Row],[EXTRA PAYMENT]]</f>
        <v>180114.08040252476</v>
      </c>
      <c r="Q125" s="5">
        <f>+Table1[[#This Row],[PRINCIPAL ]]+Table1[[#This Row],[EXTRA PAYMENT]]+Q124</f>
        <v>69885.919597475295</v>
      </c>
      <c r="R125" s="7">
        <f>+Table1[[#This Row],[INTEREST ]]+R124</f>
        <v>85736.390981758115</v>
      </c>
    </row>
    <row r="126" spans="1:18" x14ac:dyDescent="0.25">
      <c r="A126">
        <f t="shared" si="17"/>
        <v>123</v>
      </c>
      <c r="B126" s="1">
        <f t="shared" si="18"/>
        <v>44348</v>
      </c>
      <c r="C126" s="6">
        <f t="shared" si="19"/>
        <v>195037.36973579161</v>
      </c>
      <c r="D126" s="7">
        <f>PPMT(Inputs!$B$4/12,A126,Inputs!$B$5*12,-'Amortization Table'!$C$4)</f>
        <v>545.78453656068768</v>
      </c>
      <c r="E126" s="7">
        <f>IPMT(Inputs!$B$4/12,'Amortization Table'!A126,Inputs!$B$5*12,-'Amortization Table'!$C$4)</f>
        <v>629.80817310516045</v>
      </c>
      <c r="F126" s="7">
        <f t="shared" si="14"/>
        <v>1175.5927096658481</v>
      </c>
      <c r="G126" s="6">
        <f t="shared" si="15"/>
        <v>194491.58519923093</v>
      </c>
      <c r="H126" s="5">
        <f>+H125+Table1[[#This Row],[PRINCIPAL]]</f>
        <v>55508.414800768958</v>
      </c>
      <c r="I126" s="7">
        <f>Table1[[#This Row],[INTEREST]]+I125</f>
        <v>89089.488488130315</v>
      </c>
      <c r="J126" s="11"/>
      <c r="K126" s="7">
        <f t="shared" si="16"/>
        <v>180114.08040252476</v>
      </c>
      <c r="L126" s="7">
        <f>+References!$B$1-Table1[[#This Row],[INTEREST ]]</f>
        <v>593.97432503269522</v>
      </c>
      <c r="M126" s="5">
        <f>+Inputs!$B$11</f>
        <v>100</v>
      </c>
      <c r="N126" s="7">
        <f>+Table1[[#This Row],[BEGINNING BALANCE ]]*Inputs!$B$4/12</f>
        <v>581.61838463315291</v>
      </c>
      <c r="O126" s="7">
        <f>+SUM(Table1[[#This Row],[PRINCIPAL ]:[INTEREST ]])</f>
        <v>1275.5927096658481</v>
      </c>
      <c r="P126" s="7">
        <f>+Table1[[#This Row],[BEGINNING BALANCE ]]-Table1[[#This Row],[PRINCIPAL ]]-Table1[[#This Row],[EXTRA PAYMENT]]</f>
        <v>179420.10607749206</v>
      </c>
      <c r="Q126" s="5">
        <f>+Table1[[#This Row],[PRINCIPAL ]]+Table1[[#This Row],[EXTRA PAYMENT]]+Q125</f>
        <v>70579.893922507996</v>
      </c>
      <c r="R126" s="7">
        <f>+Table1[[#This Row],[INTEREST ]]+R125</f>
        <v>86318.00936639127</v>
      </c>
    </row>
    <row r="127" spans="1:18" x14ac:dyDescent="0.25">
      <c r="A127">
        <f t="shared" si="17"/>
        <v>124</v>
      </c>
      <c r="B127" s="1">
        <f t="shared" si="18"/>
        <v>44378</v>
      </c>
      <c r="C127" s="6">
        <f t="shared" si="19"/>
        <v>194491.58519923093</v>
      </c>
      <c r="D127" s="7">
        <f>PPMT(Inputs!$B$4/12,A127,Inputs!$B$5*12,-'Amortization Table'!$C$4)</f>
        <v>547.54696579333154</v>
      </c>
      <c r="E127" s="7">
        <f>IPMT(Inputs!$B$4/12,'Amortization Table'!A127,Inputs!$B$5*12,-'Amortization Table'!$C$4)</f>
        <v>628.0457438725166</v>
      </c>
      <c r="F127" s="7">
        <f t="shared" si="14"/>
        <v>1175.5927096658481</v>
      </c>
      <c r="G127" s="6">
        <f t="shared" si="15"/>
        <v>193944.0382334376</v>
      </c>
      <c r="H127" s="5">
        <f>+H126+Table1[[#This Row],[PRINCIPAL]]</f>
        <v>56055.961766562286</v>
      </c>
      <c r="I127" s="7">
        <f>Table1[[#This Row],[INTEREST]]+I126</f>
        <v>89717.534232002829</v>
      </c>
      <c r="J127" s="11"/>
      <c r="K127" s="7">
        <f t="shared" si="16"/>
        <v>179420.10607749206</v>
      </c>
      <c r="L127" s="7">
        <f>+References!$B$1-Table1[[#This Row],[INTEREST ]]</f>
        <v>596.2152837906134</v>
      </c>
      <c r="M127" s="5">
        <f>+Inputs!$B$11</f>
        <v>100</v>
      </c>
      <c r="N127" s="7">
        <f>+Table1[[#This Row],[BEGINNING BALANCE ]]*Inputs!$B$4/12</f>
        <v>579.37742587523474</v>
      </c>
      <c r="O127" s="7">
        <f>+SUM(Table1[[#This Row],[PRINCIPAL ]:[INTEREST ]])</f>
        <v>1275.5927096658481</v>
      </c>
      <c r="P127" s="7">
        <f>+Table1[[#This Row],[BEGINNING BALANCE ]]-Table1[[#This Row],[PRINCIPAL ]]-Table1[[#This Row],[EXTRA PAYMENT]]</f>
        <v>178723.89079370146</v>
      </c>
      <c r="Q127" s="5">
        <f>+Table1[[#This Row],[PRINCIPAL ]]+Table1[[#This Row],[EXTRA PAYMENT]]+Q126</f>
        <v>71276.109206298614</v>
      </c>
      <c r="R127" s="7">
        <f>+Table1[[#This Row],[INTEREST ]]+R126</f>
        <v>86897.386792266509</v>
      </c>
    </row>
    <row r="128" spans="1:18" x14ac:dyDescent="0.25">
      <c r="A128">
        <f t="shared" si="17"/>
        <v>125</v>
      </c>
      <c r="B128" s="1">
        <f t="shared" si="18"/>
        <v>44409</v>
      </c>
      <c r="C128" s="6">
        <f t="shared" si="19"/>
        <v>193944.0382334376</v>
      </c>
      <c r="D128" s="7">
        <f>PPMT(Inputs!$B$4/12,A128,Inputs!$B$5*12,-'Amortization Table'!$C$4)</f>
        <v>549.31508620370585</v>
      </c>
      <c r="E128" s="7">
        <f>IPMT(Inputs!$B$4/12,'Amortization Table'!A128,Inputs!$B$5*12,-'Amortization Table'!$C$4)</f>
        <v>626.2776234621424</v>
      </c>
      <c r="F128" s="7">
        <f t="shared" si="14"/>
        <v>1175.5927096658484</v>
      </c>
      <c r="G128" s="6">
        <f t="shared" si="15"/>
        <v>193394.72314723389</v>
      </c>
      <c r="H128" s="5">
        <f>+H127+Table1[[#This Row],[PRINCIPAL]]</f>
        <v>56605.276852765994</v>
      </c>
      <c r="I128" s="7">
        <f>Table1[[#This Row],[INTEREST]]+I127</f>
        <v>90343.81185546497</v>
      </c>
      <c r="J128" s="11"/>
      <c r="K128" s="7">
        <f t="shared" si="16"/>
        <v>178723.89079370146</v>
      </c>
      <c r="L128" s="7">
        <f>+References!$B$1-Table1[[#This Row],[INTEREST ]]</f>
        <v>598.46347897785381</v>
      </c>
      <c r="M128" s="5">
        <f>+Inputs!$B$11</f>
        <v>100</v>
      </c>
      <c r="N128" s="7">
        <f>+Table1[[#This Row],[BEGINNING BALANCE ]]*Inputs!$B$4/12</f>
        <v>577.12923068799432</v>
      </c>
      <c r="O128" s="7">
        <f>+SUM(Table1[[#This Row],[PRINCIPAL ]:[INTEREST ]])</f>
        <v>1275.5927096658481</v>
      </c>
      <c r="P128" s="7">
        <f>+Table1[[#This Row],[BEGINNING BALANCE ]]-Table1[[#This Row],[PRINCIPAL ]]-Table1[[#This Row],[EXTRA PAYMENT]]</f>
        <v>178025.42731472361</v>
      </c>
      <c r="Q128" s="5">
        <f>+Table1[[#This Row],[PRINCIPAL ]]+Table1[[#This Row],[EXTRA PAYMENT]]+Q127</f>
        <v>71974.572685276464</v>
      </c>
      <c r="R128" s="7">
        <f>+Table1[[#This Row],[INTEREST ]]+R127</f>
        <v>87474.5160229545</v>
      </c>
    </row>
    <row r="129" spans="1:18" x14ac:dyDescent="0.25">
      <c r="A129">
        <f t="shared" si="17"/>
        <v>126</v>
      </c>
      <c r="B129" s="1">
        <f t="shared" si="18"/>
        <v>44440</v>
      </c>
      <c r="C129" s="6">
        <f t="shared" si="19"/>
        <v>193394.72314723389</v>
      </c>
      <c r="D129" s="7">
        <f>PPMT(Inputs!$B$4/12,A129,Inputs!$B$5*12,-'Amortization Table'!$C$4)</f>
        <v>551.08891616957192</v>
      </c>
      <c r="E129" s="7">
        <f>IPMT(Inputs!$B$4/12,'Amortization Table'!A129,Inputs!$B$5*12,-'Amortization Table'!$C$4)</f>
        <v>624.50379349627633</v>
      </c>
      <c r="F129" s="7">
        <f t="shared" si="14"/>
        <v>1175.5927096658484</v>
      </c>
      <c r="G129" s="6">
        <f t="shared" si="15"/>
        <v>192843.63423106432</v>
      </c>
      <c r="H129" s="5">
        <f>+H128+Table1[[#This Row],[PRINCIPAL]]</f>
        <v>57156.365768935568</v>
      </c>
      <c r="I129" s="7">
        <f>Table1[[#This Row],[INTEREST]]+I128</f>
        <v>90968.315648961245</v>
      </c>
      <c r="J129" s="11"/>
      <c r="K129" s="7">
        <f t="shared" si="16"/>
        <v>178025.42731472361</v>
      </c>
      <c r="L129" s="7">
        <f>+References!$B$1-Table1[[#This Row],[INTEREST ]]</f>
        <v>600.71893396205314</v>
      </c>
      <c r="M129" s="5">
        <f>+Inputs!$B$11</f>
        <v>100</v>
      </c>
      <c r="N129" s="7">
        <f>+Table1[[#This Row],[BEGINNING BALANCE ]]*Inputs!$B$4/12</f>
        <v>574.87377570379499</v>
      </c>
      <c r="O129" s="7">
        <f>+SUM(Table1[[#This Row],[PRINCIPAL ]:[INTEREST ]])</f>
        <v>1275.5927096658481</v>
      </c>
      <c r="P129" s="7">
        <f>+Table1[[#This Row],[BEGINNING BALANCE ]]-Table1[[#This Row],[PRINCIPAL ]]-Table1[[#This Row],[EXTRA PAYMENT]]</f>
        <v>177324.70838076156</v>
      </c>
      <c r="Q129" s="5">
        <f>+Table1[[#This Row],[PRINCIPAL ]]+Table1[[#This Row],[EXTRA PAYMENT]]+Q128</f>
        <v>72675.291619238516</v>
      </c>
      <c r="R129" s="7">
        <f>+Table1[[#This Row],[INTEREST ]]+R128</f>
        <v>88049.389798658289</v>
      </c>
    </row>
    <row r="130" spans="1:18" x14ac:dyDescent="0.25">
      <c r="A130">
        <f t="shared" si="17"/>
        <v>127</v>
      </c>
      <c r="B130" s="1">
        <f t="shared" si="18"/>
        <v>44470</v>
      </c>
      <c r="C130" s="6">
        <f t="shared" si="19"/>
        <v>192843.63423106432</v>
      </c>
      <c r="D130" s="7">
        <f>PPMT(Inputs!$B$4/12,A130,Inputs!$B$5*12,-'Amortization Table'!$C$4)</f>
        <v>552.86847412803615</v>
      </c>
      <c r="E130" s="7">
        <f>IPMT(Inputs!$B$4/12,'Amortization Table'!A130,Inputs!$B$5*12,-'Amortization Table'!$C$4)</f>
        <v>622.72423553781209</v>
      </c>
      <c r="F130" s="7">
        <f t="shared" si="14"/>
        <v>1175.5927096658484</v>
      </c>
      <c r="G130" s="6">
        <f t="shared" si="15"/>
        <v>192290.76575693628</v>
      </c>
      <c r="H130" s="5">
        <f>+H129+Table1[[#This Row],[PRINCIPAL]]</f>
        <v>57709.234243063605</v>
      </c>
      <c r="I130" s="7">
        <f>Table1[[#This Row],[INTEREST]]+I129</f>
        <v>91591.039884499056</v>
      </c>
      <c r="J130" s="11"/>
      <c r="K130" s="7">
        <f t="shared" si="16"/>
        <v>177324.70838076156</v>
      </c>
      <c r="L130" s="7">
        <f>+References!$B$1-Table1[[#This Row],[INTEREST ]]</f>
        <v>602.98167218630567</v>
      </c>
      <c r="M130" s="5">
        <f>+Inputs!$B$11</f>
        <v>100</v>
      </c>
      <c r="N130" s="7">
        <f>+Table1[[#This Row],[BEGINNING BALANCE ]]*Inputs!$B$4/12</f>
        <v>572.61103747954246</v>
      </c>
      <c r="O130" s="7">
        <f>+SUM(Table1[[#This Row],[PRINCIPAL ]:[INTEREST ]])</f>
        <v>1275.5927096658481</v>
      </c>
      <c r="P130" s="7">
        <f>+Table1[[#This Row],[BEGINNING BALANCE ]]-Table1[[#This Row],[PRINCIPAL ]]-Table1[[#This Row],[EXTRA PAYMENT]]</f>
        <v>176621.72670857524</v>
      </c>
      <c r="Q130" s="5">
        <f>+Table1[[#This Row],[PRINCIPAL ]]+Table1[[#This Row],[EXTRA PAYMENT]]+Q129</f>
        <v>73378.273291424819</v>
      </c>
      <c r="R130" s="7">
        <f>+Table1[[#This Row],[INTEREST ]]+R129</f>
        <v>88622.000836137828</v>
      </c>
    </row>
    <row r="131" spans="1:18" x14ac:dyDescent="0.25">
      <c r="A131">
        <f t="shared" si="17"/>
        <v>128</v>
      </c>
      <c r="B131" s="1">
        <f t="shared" si="18"/>
        <v>44501</v>
      </c>
      <c r="C131" s="6">
        <f t="shared" si="19"/>
        <v>192290.76575693628</v>
      </c>
      <c r="D131" s="7">
        <f>PPMT(Inputs!$B$4/12,A131,Inputs!$B$5*12,-'Amortization Table'!$C$4)</f>
        <v>554.65377857574128</v>
      </c>
      <c r="E131" s="7">
        <f>IPMT(Inputs!$B$4/12,'Amortization Table'!A131,Inputs!$B$5*12,-'Amortization Table'!$C$4)</f>
        <v>620.93893109010696</v>
      </c>
      <c r="F131" s="7">
        <f t="shared" si="14"/>
        <v>1175.5927096658484</v>
      </c>
      <c r="G131" s="6">
        <f t="shared" si="15"/>
        <v>191736.11197836054</v>
      </c>
      <c r="H131" s="5">
        <f>+H130+Table1[[#This Row],[PRINCIPAL]]</f>
        <v>58263.888021639345</v>
      </c>
      <c r="I131" s="7">
        <f>Table1[[#This Row],[INTEREST]]+I130</f>
        <v>92211.978815589158</v>
      </c>
      <c r="J131" s="11"/>
      <c r="K131" s="7">
        <f t="shared" si="16"/>
        <v>176621.72670857524</v>
      </c>
      <c r="L131" s="7">
        <f>+References!$B$1-Table1[[#This Row],[INTEREST ]]</f>
        <v>605.25171716940724</v>
      </c>
      <c r="M131" s="5">
        <f>+Inputs!$B$11</f>
        <v>100</v>
      </c>
      <c r="N131" s="7">
        <f>+Table1[[#This Row],[BEGINNING BALANCE ]]*Inputs!$B$4/12</f>
        <v>570.34099249644089</v>
      </c>
      <c r="O131" s="7">
        <f>+SUM(Table1[[#This Row],[PRINCIPAL ]:[INTEREST ]])</f>
        <v>1275.5927096658481</v>
      </c>
      <c r="P131" s="7">
        <f>+Table1[[#This Row],[BEGINNING BALANCE ]]-Table1[[#This Row],[PRINCIPAL ]]-Table1[[#This Row],[EXTRA PAYMENT]]</f>
        <v>175916.47499140582</v>
      </c>
      <c r="Q131" s="5">
        <f>+Table1[[#This Row],[PRINCIPAL ]]+Table1[[#This Row],[EXTRA PAYMENT]]+Q130</f>
        <v>74083.525008594224</v>
      </c>
      <c r="R131" s="7">
        <f>+Table1[[#This Row],[INTEREST ]]+R130</f>
        <v>89192.341828634264</v>
      </c>
    </row>
    <row r="132" spans="1:18" x14ac:dyDescent="0.25">
      <c r="A132">
        <f t="shared" si="17"/>
        <v>129</v>
      </c>
      <c r="B132" s="1">
        <f t="shared" si="18"/>
        <v>44531</v>
      </c>
      <c r="C132" s="6">
        <f t="shared" si="19"/>
        <v>191736.11197836054</v>
      </c>
      <c r="D132" s="7">
        <f>PPMT(Inputs!$B$4/12,A132,Inputs!$B$5*12,-'Amortization Table'!$C$4)</f>
        <v>556.44484806905882</v>
      </c>
      <c r="E132" s="7">
        <f>IPMT(Inputs!$B$4/12,'Amortization Table'!A132,Inputs!$B$5*12,-'Amortization Table'!$C$4)</f>
        <v>619.14786159678943</v>
      </c>
      <c r="F132" s="7">
        <f t="shared" ref="F132:F195" si="20">+SUM(D132:E132)</f>
        <v>1175.5927096658484</v>
      </c>
      <c r="G132" s="6">
        <f t="shared" ref="G132:G195" si="21">+C132-D132</f>
        <v>191179.66713029149</v>
      </c>
      <c r="H132" s="5">
        <f>+H131+Table1[[#This Row],[PRINCIPAL]]</f>
        <v>58820.3328697084</v>
      </c>
      <c r="I132" s="7">
        <f>Table1[[#This Row],[INTEREST]]+I131</f>
        <v>92831.126677185952</v>
      </c>
      <c r="J132" s="11"/>
      <c r="K132" s="7">
        <f t="shared" si="16"/>
        <v>175916.47499140582</v>
      </c>
      <c r="L132" s="7">
        <f>+References!$B$1-Table1[[#This Row],[INTEREST ]]</f>
        <v>607.52909250610014</v>
      </c>
      <c r="M132" s="5">
        <f>+Inputs!$B$11</f>
        <v>100</v>
      </c>
      <c r="N132" s="7">
        <f>+Table1[[#This Row],[BEGINNING BALANCE ]]*Inputs!$B$4/12</f>
        <v>568.06361715974799</v>
      </c>
      <c r="O132" s="7">
        <f>+SUM(Table1[[#This Row],[PRINCIPAL ]:[INTEREST ]])</f>
        <v>1275.5927096658481</v>
      </c>
      <c r="P132" s="7">
        <f>+Table1[[#This Row],[BEGINNING BALANCE ]]-Table1[[#This Row],[PRINCIPAL ]]-Table1[[#This Row],[EXTRA PAYMENT]]</f>
        <v>175208.94589889972</v>
      </c>
      <c r="Q132" s="5">
        <f>+Table1[[#This Row],[PRINCIPAL ]]+Table1[[#This Row],[EXTRA PAYMENT]]+Q131</f>
        <v>74791.054101100322</v>
      </c>
      <c r="R132" s="7">
        <f>+Table1[[#This Row],[INTEREST ]]+R131</f>
        <v>89760.405445794007</v>
      </c>
    </row>
    <row r="133" spans="1:18" x14ac:dyDescent="0.25">
      <c r="A133">
        <f t="shared" si="17"/>
        <v>130</v>
      </c>
      <c r="B133" s="1">
        <f t="shared" si="18"/>
        <v>44562</v>
      </c>
      <c r="C133" s="6">
        <f t="shared" si="19"/>
        <v>191179.66713029149</v>
      </c>
      <c r="D133" s="7">
        <f>PPMT(Inputs!$B$4/12,A133,Inputs!$B$5*12,-'Amortization Table'!$C$4)</f>
        <v>558.24170122428177</v>
      </c>
      <c r="E133" s="7">
        <f>IPMT(Inputs!$B$4/12,'Amortization Table'!A133,Inputs!$B$5*12,-'Amortization Table'!$C$4)</f>
        <v>617.35100844156648</v>
      </c>
      <c r="F133" s="7">
        <f t="shared" si="20"/>
        <v>1175.5927096658484</v>
      </c>
      <c r="G133" s="6">
        <f t="shared" si="21"/>
        <v>190621.4254290672</v>
      </c>
      <c r="H133" s="5">
        <f>+H132+Table1[[#This Row],[PRINCIPAL]]</f>
        <v>59378.57457093268</v>
      </c>
      <c r="I133" s="7">
        <f>Table1[[#This Row],[INTEREST]]+I132</f>
        <v>93448.477685627513</v>
      </c>
      <c r="J133" s="11"/>
      <c r="K133" s="7">
        <f t="shared" si="16"/>
        <v>175208.94589889972</v>
      </c>
      <c r="L133" s="7">
        <f>+References!$B$1-Table1[[#This Row],[INTEREST ]]</f>
        <v>609.81382186731776</v>
      </c>
      <c r="M133" s="5">
        <f>+Inputs!$B$11</f>
        <v>100</v>
      </c>
      <c r="N133" s="7">
        <f>+Table1[[#This Row],[BEGINNING BALANCE ]]*Inputs!$B$4/12</f>
        <v>565.77888779853038</v>
      </c>
      <c r="O133" s="7">
        <f>+SUM(Table1[[#This Row],[PRINCIPAL ]:[INTEREST ]])</f>
        <v>1275.5927096658481</v>
      </c>
      <c r="P133" s="7">
        <f>+Table1[[#This Row],[BEGINNING BALANCE ]]-Table1[[#This Row],[PRINCIPAL ]]-Table1[[#This Row],[EXTRA PAYMENT]]</f>
        <v>174499.13207703241</v>
      </c>
      <c r="Q133" s="5">
        <f>+Table1[[#This Row],[PRINCIPAL ]]+Table1[[#This Row],[EXTRA PAYMENT]]+Q132</f>
        <v>75500.867922967635</v>
      </c>
      <c r="R133" s="7">
        <f>+Table1[[#This Row],[INTEREST ]]+R132</f>
        <v>90326.184333592537</v>
      </c>
    </row>
    <row r="134" spans="1:18" x14ac:dyDescent="0.25">
      <c r="A134">
        <f t="shared" si="17"/>
        <v>131</v>
      </c>
      <c r="B134" s="1">
        <f t="shared" si="18"/>
        <v>44593</v>
      </c>
      <c r="C134" s="6">
        <f t="shared" si="19"/>
        <v>190621.4254290672</v>
      </c>
      <c r="D134" s="7">
        <f>PPMT(Inputs!$B$4/12,A134,Inputs!$B$5*12,-'Amortization Table'!$C$4)</f>
        <v>560.04435671781857</v>
      </c>
      <c r="E134" s="7">
        <f>IPMT(Inputs!$B$4/12,'Amortization Table'!A134,Inputs!$B$5*12,-'Amortization Table'!$C$4)</f>
        <v>615.54835294802956</v>
      </c>
      <c r="F134" s="7">
        <f t="shared" si="20"/>
        <v>1175.5927096658481</v>
      </c>
      <c r="G134" s="6">
        <f t="shared" si="21"/>
        <v>190061.38107234938</v>
      </c>
      <c r="H134" s="5">
        <f>+H133+Table1[[#This Row],[PRINCIPAL]]</f>
        <v>59938.618927650496</v>
      </c>
      <c r="I134" s="7">
        <f>Table1[[#This Row],[INTEREST]]+I133</f>
        <v>94064.026038575539</v>
      </c>
      <c r="J134" s="11"/>
      <c r="K134" s="7">
        <f t="shared" ref="K134:K197" si="22">+P133</f>
        <v>174499.13207703241</v>
      </c>
      <c r="L134" s="7">
        <f>+References!$B$1-Table1[[#This Row],[INTEREST ]]</f>
        <v>612.10592900043105</v>
      </c>
      <c r="M134" s="5">
        <f>+Inputs!$B$11</f>
        <v>100</v>
      </c>
      <c r="N134" s="7">
        <f>+Table1[[#This Row],[BEGINNING BALANCE ]]*Inputs!$B$4/12</f>
        <v>563.48678066541709</v>
      </c>
      <c r="O134" s="7">
        <f>+SUM(Table1[[#This Row],[PRINCIPAL ]:[INTEREST ]])</f>
        <v>1275.5927096658481</v>
      </c>
      <c r="P134" s="7">
        <f>+Table1[[#This Row],[BEGINNING BALANCE ]]-Table1[[#This Row],[PRINCIPAL ]]-Table1[[#This Row],[EXTRA PAYMENT]]</f>
        <v>173787.02614803199</v>
      </c>
      <c r="Q134" s="5">
        <f>+Table1[[#This Row],[PRINCIPAL ]]+Table1[[#This Row],[EXTRA PAYMENT]]+Q133</f>
        <v>76212.973851968069</v>
      </c>
      <c r="R134" s="7">
        <f>+Table1[[#This Row],[INTEREST ]]+R133</f>
        <v>90889.671114257959</v>
      </c>
    </row>
    <row r="135" spans="1:18" x14ac:dyDescent="0.25">
      <c r="A135">
        <f t="shared" si="17"/>
        <v>132</v>
      </c>
      <c r="B135" s="1">
        <f t="shared" si="18"/>
        <v>44621</v>
      </c>
      <c r="C135" s="6">
        <f t="shared" si="19"/>
        <v>190061.38107234938</v>
      </c>
      <c r="D135" s="7">
        <f>PPMT(Inputs!$B$4/12,A135,Inputs!$B$5*12,-'Amortization Table'!$C$4)</f>
        <v>561.8528332863865</v>
      </c>
      <c r="E135" s="7">
        <f>IPMT(Inputs!$B$4/12,'Amortization Table'!A135,Inputs!$B$5*12,-'Amortization Table'!$C$4)</f>
        <v>613.73987637946163</v>
      </c>
      <c r="F135" s="7">
        <f t="shared" si="20"/>
        <v>1175.5927096658481</v>
      </c>
      <c r="G135" s="6">
        <f t="shared" si="21"/>
        <v>189499.52823906299</v>
      </c>
      <c r="H135" s="5">
        <f>+H134+Table1[[#This Row],[PRINCIPAL]]</f>
        <v>60500.471760936882</v>
      </c>
      <c r="I135" s="7">
        <f>Table1[[#This Row],[INTEREST]]+I134</f>
        <v>94677.765914955002</v>
      </c>
      <c r="J135" s="11"/>
      <c r="K135" s="7">
        <f t="shared" si="22"/>
        <v>173787.02614803199</v>
      </c>
      <c r="L135" s="7">
        <f>+References!$B$1-Table1[[#This Row],[INTEREST ]]</f>
        <v>614.40543772949479</v>
      </c>
      <c r="M135" s="5">
        <f>+Inputs!$B$11</f>
        <v>100</v>
      </c>
      <c r="N135" s="7">
        <f>+Table1[[#This Row],[BEGINNING BALANCE ]]*Inputs!$B$4/12</f>
        <v>561.18727193635334</v>
      </c>
      <c r="O135" s="7">
        <f>+SUM(Table1[[#This Row],[PRINCIPAL ]:[INTEREST ]])</f>
        <v>1275.5927096658481</v>
      </c>
      <c r="P135" s="7">
        <f>+Table1[[#This Row],[BEGINNING BALANCE ]]-Table1[[#This Row],[PRINCIPAL ]]-Table1[[#This Row],[EXTRA PAYMENT]]</f>
        <v>173072.62071030249</v>
      </c>
      <c r="Q135" s="5">
        <f>+Table1[[#This Row],[PRINCIPAL ]]+Table1[[#This Row],[EXTRA PAYMENT]]+Q134</f>
        <v>76927.379289697565</v>
      </c>
      <c r="R135" s="7">
        <f>+Table1[[#This Row],[INTEREST ]]+R134</f>
        <v>91450.858386194319</v>
      </c>
    </row>
    <row r="136" spans="1:18" x14ac:dyDescent="0.25">
      <c r="A136">
        <f t="shared" si="17"/>
        <v>133</v>
      </c>
      <c r="B136" s="1">
        <f t="shared" si="18"/>
        <v>44652</v>
      </c>
      <c r="C136" s="6">
        <f t="shared" si="19"/>
        <v>189499.52823906299</v>
      </c>
      <c r="D136" s="7">
        <f>PPMT(Inputs!$B$4/12,A136,Inputs!$B$5*12,-'Amortization Table'!$C$4)</f>
        <v>563.66714972720717</v>
      </c>
      <c r="E136" s="7">
        <f>IPMT(Inputs!$B$4/12,'Amortization Table'!A136,Inputs!$B$5*12,-'Amortization Table'!$C$4)</f>
        <v>611.92555993864107</v>
      </c>
      <c r="F136" s="7">
        <f t="shared" si="20"/>
        <v>1175.5927096658484</v>
      </c>
      <c r="G136" s="6">
        <f t="shared" si="21"/>
        <v>188935.86108933578</v>
      </c>
      <c r="H136" s="5">
        <f>+H135+Table1[[#This Row],[PRINCIPAL]]</f>
        <v>61064.138910664085</v>
      </c>
      <c r="I136" s="7">
        <f>Table1[[#This Row],[INTEREST]]+I135</f>
        <v>95289.69147489364</v>
      </c>
      <c r="J136" s="11"/>
      <c r="K136" s="7">
        <f t="shared" si="22"/>
        <v>173072.62071030249</v>
      </c>
      <c r="L136" s="7">
        <f>+References!$B$1-Table1[[#This Row],[INTEREST ]]</f>
        <v>616.71237195549634</v>
      </c>
      <c r="M136" s="5">
        <f>+Inputs!$B$11</f>
        <v>100</v>
      </c>
      <c r="N136" s="7">
        <f>+Table1[[#This Row],[BEGINNING BALANCE ]]*Inputs!$B$4/12</f>
        <v>558.8803377103518</v>
      </c>
      <c r="O136" s="7">
        <f>+SUM(Table1[[#This Row],[PRINCIPAL ]:[INTEREST ]])</f>
        <v>1275.5927096658481</v>
      </c>
      <c r="P136" s="7">
        <f>+Table1[[#This Row],[BEGINNING BALANCE ]]-Table1[[#This Row],[PRINCIPAL ]]-Table1[[#This Row],[EXTRA PAYMENT]]</f>
        <v>172355.90833834698</v>
      </c>
      <c r="Q136" s="5">
        <f>+Table1[[#This Row],[PRINCIPAL ]]+Table1[[#This Row],[EXTRA PAYMENT]]+Q135</f>
        <v>77644.091661653059</v>
      </c>
      <c r="R136" s="7">
        <f>+Table1[[#This Row],[INTEREST ]]+R135</f>
        <v>92009.738723904666</v>
      </c>
    </row>
    <row r="137" spans="1:18" x14ac:dyDescent="0.25">
      <c r="A137">
        <f t="shared" si="17"/>
        <v>134</v>
      </c>
      <c r="B137" s="1">
        <f t="shared" si="18"/>
        <v>44682</v>
      </c>
      <c r="C137" s="6">
        <f t="shared" si="19"/>
        <v>188935.86108933578</v>
      </c>
      <c r="D137" s="7">
        <f>PPMT(Inputs!$B$4/12,A137,Inputs!$B$5*12,-'Amortization Table'!$C$4)</f>
        <v>565.48732489820111</v>
      </c>
      <c r="E137" s="7">
        <f>IPMT(Inputs!$B$4/12,'Amortization Table'!A137,Inputs!$B$5*12,-'Amortization Table'!$C$4)</f>
        <v>610.10538476764702</v>
      </c>
      <c r="F137" s="7">
        <f t="shared" si="20"/>
        <v>1175.5927096658481</v>
      </c>
      <c r="G137" s="6">
        <f t="shared" si="21"/>
        <v>188370.37376443759</v>
      </c>
      <c r="H137" s="5">
        <f>+H136+Table1[[#This Row],[PRINCIPAL]]</f>
        <v>61629.626235562289</v>
      </c>
      <c r="I137" s="7">
        <f>Table1[[#This Row],[INTEREST]]+I136</f>
        <v>95899.796859661292</v>
      </c>
      <c r="J137" s="11"/>
      <c r="K137" s="7">
        <f t="shared" si="22"/>
        <v>172355.90833834698</v>
      </c>
      <c r="L137" s="7">
        <f>+References!$B$1-Table1[[#This Row],[INTEREST ]]</f>
        <v>619.02675565660263</v>
      </c>
      <c r="M137" s="5">
        <f>+Inputs!$B$11</f>
        <v>100</v>
      </c>
      <c r="N137" s="7">
        <f>+Table1[[#This Row],[BEGINNING BALANCE ]]*Inputs!$B$4/12</f>
        <v>556.5659540092455</v>
      </c>
      <c r="O137" s="7">
        <f>+SUM(Table1[[#This Row],[PRINCIPAL ]:[INTEREST ]])</f>
        <v>1275.5927096658481</v>
      </c>
      <c r="P137" s="7">
        <f>+Table1[[#This Row],[BEGINNING BALANCE ]]-Table1[[#This Row],[PRINCIPAL ]]-Table1[[#This Row],[EXTRA PAYMENT]]</f>
        <v>171636.88158269037</v>
      </c>
      <c r="Q137" s="5">
        <f>+Table1[[#This Row],[PRINCIPAL ]]+Table1[[#This Row],[EXTRA PAYMENT]]+Q136</f>
        <v>78363.118417309655</v>
      </c>
      <c r="R137" s="7">
        <f>+Table1[[#This Row],[INTEREST ]]+R136</f>
        <v>92566.304677913911</v>
      </c>
    </row>
    <row r="138" spans="1:18" x14ac:dyDescent="0.25">
      <c r="A138">
        <f t="shared" si="17"/>
        <v>135</v>
      </c>
      <c r="B138" s="1">
        <f t="shared" si="18"/>
        <v>44713</v>
      </c>
      <c r="C138" s="6">
        <f t="shared" si="19"/>
        <v>188370.37376443759</v>
      </c>
      <c r="D138" s="7">
        <f>PPMT(Inputs!$B$4/12,A138,Inputs!$B$5*12,-'Amortization Table'!$C$4)</f>
        <v>567.31337771818494</v>
      </c>
      <c r="E138" s="7">
        <f>IPMT(Inputs!$B$4/12,'Amortization Table'!A138,Inputs!$B$5*12,-'Amortization Table'!$C$4)</f>
        <v>608.2793319476632</v>
      </c>
      <c r="F138" s="7">
        <f t="shared" si="20"/>
        <v>1175.5927096658481</v>
      </c>
      <c r="G138" s="6">
        <f t="shared" si="21"/>
        <v>187803.06038671941</v>
      </c>
      <c r="H138" s="5">
        <f>+H137+Table1[[#This Row],[PRINCIPAL]]</f>
        <v>62196.939613280476</v>
      </c>
      <c r="I138" s="7">
        <f>Table1[[#This Row],[INTEREST]]+I137</f>
        <v>96508.076191608954</v>
      </c>
      <c r="J138" s="11"/>
      <c r="K138" s="7">
        <f t="shared" si="22"/>
        <v>171636.88158269037</v>
      </c>
      <c r="L138" s="7">
        <f>+References!$B$1-Table1[[#This Row],[INTEREST ]]</f>
        <v>621.34861288841046</v>
      </c>
      <c r="M138" s="5">
        <f>+Inputs!$B$11</f>
        <v>100</v>
      </c>
      <c r="N138" s="7">
        <f>+Table1[[#This Row],[BEGINNING BALANCE ]]*Inputs!$B$4/12</f>
        <v>554.24409677743768</v>
      </c>
      <c r="O138" s="7">
        <f>+SUM(Table1[[#This Row],[PRINCIPAL ]:[INTEREST ]])</f>
        <v>1275.5927096658481</v>
      </c>
      <c r="P138" s="7">
        <f>+Table1[[#This Row],[BEGINNING BALANCE ]]-Table1[[#This Row],[PRINCIPAL ]]-Table1[[#This Row],[EXTRA PAYMENT]]</f>
        <v>170915.53296980198</v>
      </c>
      <c r="Q138" s="5">
        <f>+Table1[[#This Row],[PRINCIPAL ]]+Table1[[#This Row],[EXTRA PAYMENT]]+Q137</f>
        <v>79084.467030198066</v>
      </c>
      <c r="R138" s="7">
        <f>+Table1[[#This Row],[INTEREST ]]+R137</f>
        <v>93120.548774691342</v>
      </c>
    </row>
    <row r="139" spans="1:18" x14ac:dyDescent="0.25">
      <c r="A139">
        <f t="shared" si="17"/>
        <v>136</v>
      </c>
      <c r="B139" s="1">
        <f t="shared" si="18"/>
        <v>44743</v>
      </c>
      <c r="C139" s="6">
        <f t="shared" si="19"/>
        <v>187803.06038671941</v>
      </c>
      <c r="D139" s="7">
        <f>PPMT(Inputs!$B$4/12,A139,Inputs!$B$5*12,-'Amortization Table'!$C$4)</f>
        <v>569.14532716706663</v>
      </c>
      <c r="E139" s="7">
        <f>IPMT(Inputs!$B$4/12,'Amortization Table'!A139,Inputs!$B$5*12,-'Amortization Table'!$C$4)</f>
        <v>606.44738249878151</v>
      </c>
      <c r="F139" s="7">
        <f t="shared" si="20"/>
        <v>1175.5927096658481</v>
      </c>
      <c r="G139" s="6">
        <f t="shared" si="21"/>
        <v>187233.91505955235</v>
      </c>
      <c r="H139" s="5">
        <f>+H138+Table1[[#This Row],[PRINCIPAL]]</f>
        <v>62766.084940447545</v>
      </c>
      <c r="I139" s="7">
        <f>Table1[[#This Row],[INTEREST]]+I138</f>
        <v>97114.523574107734</v>
      </c>
      <c r="J139" s="11"/>
      <c r="K139" s="7">
        <f t="shared" si="22"/>
        <v>170915.53296980198</v>
      </c>
      <c r="L139" s="7">
        <f>+References!$B$1-Table1[[#This Row],[INTEREST ]]</f>
        <v>623.67796778419586</v>
      </c>
      <c r="M139" s="5">
        <f>+Inputs!$B$11</f>
        <v>100</v>
      </c>
      <c r="N139" s="7">
        <f>+Table1[[#This Row],[BEGINNING BALANCE ]]*Inputs!$B$4/12</f>
        <v>551.91474188165228</v>
      </c>
      <c r="O139" s="7">
        <f>+SUM(Table1[[#This Row],[PRINCIPAL ]:[INTEREST ]])</f>
        <v>1275.5927096658481</v>
      </c>
      <c r="P139" s="7">
        <f>+Table1[[#This Row],[BEGINNING BALANCE ]]-Table1[[#This Row],[PRINCIPAL ]]-Table1[[#This Row],[EXTRA PAYMENT]]</f>
        <v>170191.85500201778</v>
      </c>
      <c r="Q139" s="5">
        <f>+Table1[[#This Row],[PRINCIPAL ]]+Table1[[#This Row],[EXTRA PAYMENT]]+Q138</f>
        <v>79808.144997982265</v>
      </c>
      <c r="R139" s="7">
        <f>+Table1[[#This Row],[INTEREST ]]+R138</f>
        <v>93672.463516573</v>
      </c>
    </row>
    <row r="140" spans="1:18" x14ac:dyDescent="0.25">
      <c r="A140">
        <f t="shared" si="17"/>
        <v>137</v>
      </c>
      <c r="B140" s="1">
        <f t="shared" si="18"/>
        <v>44774</v>
      </c>
      <c r="C140" s="6">
        <f t="shared" si="19"/>
        <v>187233.91505955235</v>
      </c>
      <c r="D140" s="7">
        <f>PPMT(Inputs!$B$4/12,A140,Inputs!$B$5*12,-'Amortization Table'!$C$4)</f>
        <v>570.98319228604373</v>
      </c>
      <c r="E140" s="7">
        <f>IPMT(Inputs!$B$4/12,'Amortization Table'!A140,Inputs!$B$5*12,-'Amortization Table'!$C$4)</f>
        <v>604.60951737980452</v>
      </c>
      <c r="F140" s="7">
        <f t="shared" si="20"/>
        <v>1175.5927096658484</v>
      </c>
      <c r="G140" s="6">
        <f t="shared" si="21"/>
        <v>186662.93186726631</v>
      </c>
      <c r="H140" s="5">
        <f>+H139+Table1[[#This Row],[PRINCIPAL]]</f>
        <v>63337.068132733591</v>
      </c>
      <c r="I140" s="7">
        <f>Table1[[#This Row],[INTEREST]]+I139</f>
        <v>97719.133091487543</v>
      </c>
      <c r="J140" s="11"/>
      <c r="K140" s="7">
        <f t="shared" si="22"/>
        <v>170191.85500201778</v>
      </c>
      <c r="L140" s="7">
        <f>+References!$B$1-Table1[[#This Row],[INTEREST ]]</f>
        <v>626.01484455516572</v>
      </c>
      <c r="M140" s="5">
        <f>+Inputs!$B$11</f>
        <v>100</v>
      </c>
      <c r="N140" s="7">
        <f>+Table1[[#This Row],[BEGINNING BALANCE ]]*Inputs!$B$4/12</f>
        <v>549.57786511068241</v>
      </c>
      <c r="O140" s="7">
        <f>+SUM(Table1[[#This Row],[PRINCIPAL ]:[INTEREST ]])</f>
        <v>1275.5927096658481</v>
      </c>
      <c r="P140" s="7">
        <f>+Table1[[#This Row],[BEGINNING BALANCE ]]-Table1[[#This Row],[PRINCIPAL ]]-Table1[[#This Row],[EXTRA PAYMENT]]</f>
        <v>169465.8401574626</v>
      </c>
      <c r="Q140" s="5">
        <f>+Table1[[#This Row],[PRINCIPAL ]]+Table1[[#This Row],[EXTRA PAYMENT]]+Q139</f>
        <v>80534.159842537425</v>
      </c>
      <c r="R140" s="7">
        <f>+Table1[[#This Row],[INTEREST ]]+R139</f>
        <v>94222.041381683681</v>
      </c>
    </row>
    <row r="141" spans="1:18" x14ac:dyDescent="0.25">
      <c r="A141">
        <f t="shared" si="17"/>
        <v>138</v>
      </c>
      <c r="B141" s="1">
        <f t="shared" si="18"/>
        <v>44805</v>
      </c>
      <c r="C141" s="6">
        <f t="shared" si="19"/>
        <v>186662.93186726631</v>
      </c>
      <c r="D141" s="7">
        <f>PPMT(Inputs!$B$4/12,A141,Inputs!$B$5*12,-'Amortization Table'!$C$4)</f>
        <v>572.82699217780066</v>
      </c>
      <c r="E141" s="7">
        <f>IPMT(Inputs!$B$4/12,'Amortization Table'!A141,Inputs!$B$5*12,-'Amortization Table'!$C$4)</f>
        <v>602.76571748804758</v>
      </c>
      <c r="F141" s="7">
        <f t="shared" si="20"/>
        <v>1175.5927096658484</v>
      </c>
      <c r="G141" s="6">
        <f t="shared" si="21"/>
        <v>186090.10487508849</v>
      </c>
      <c r="H141" s="5">
        <f>+H140+Table1[[#This Row],[PRINCIPAL]]</f>
        <v>63909.895124911389</v>
      </c>
      <c r="I141" s="7">
        <f>Table1[[#This Row],[INTEREST]]+I140</f>
        <v>98321.898808975588</v>
      </c>
      <c r="J141" s="11"/>
      <c r="K141" s="7">
        <f t="shared" si="22"/>
        <v>169465.8401574626</v>
      </c>
      <c r="L141" s="7">
        <f>+References!$B$1-Table1[[#This Row],[INTEREST ]]</f>
        <v>628.35926749070848</v>
      </c>
      <c r="M141" s="5">
        <f>+Inputs!$B$11</f>
        <v>100</v>
      </c>
      <c r="N141" s="7">
        <f>+Table1[[#This Row],[BEGINNING BALANCE ]]*Inputs!$B$4/12</f>
        <v>547.23344217513966</v>
      </c>
      <c r="O141" s="7">
        <f>+SUM(Table1[[#This Row],[PRINCIPAL ]:[INTEREST ]])</f>
        <v>1275.5927096658481</v>
      </c>
      <c r="P141" s="7">
        <f>+Table1[[#This Row],[BEGINNING BALANCE ]]-Table1[[#This Row],[PRINCIPAL ]]-Table1[[#This Row],[EXTRA PAYMENT]]</f>
        <v>168737.48088997189</v>
      </c>
      <c r="Q141" s="5">
        <f>+Table1[[#This Row],[PRINCIPAL ]]+Table1[[#This Row],[EXTRA PAYMENT]]+Q140</f>
        <v>81262.519110028137</v>
      </c>
      <c r="R141" s="7">
        <f>+Table1[[#This Row],[INTEREST ]]+R140</f>
        <v>94769.274823858825</v>
      </c>
    </row>
    <row r="142" spans="1:18" x14ac:dyDescent="0.25">
      <c r="A142">
        <f t="shared" si="17"/>
        <v>139</v>
      </c>
      <c r="B142" s="1">
        <f t="shared" si="18"/>
        <v>44835</v>
      </c>
      <c r="C142" s="6">
        <f t="shared" si="19"/>
        <v>186090.10487508849</v>
      </c>
      <c r="D142" s="7">
        <f>PPMT(Inputs!$B$4/12,A142,Inputs!$B$5*12,-'Amortization Table'!$C$4)</f>
        <v>574.67674600670807</v>
      </c>
      <c r="E142" s="7">
        <f>IPMT(Inputs!$B$4/12,'Amortization Table'!A142,Inputs!$B$5*12,-'Amortization Table'!$C$4)</f>
        <v>600.91596365914006</v>
      </c>
      <c r="F142" s="7">
        <f t="shared" si="20"/>
        <v>1175.5927096658481</v>
      </c>
      <c r="G142" s="6">
        <f t="shared" si="21"/>
        <v>185515.42812908179</v>
      </c>
      <c r="H142" s="5">
        <f>+H141+Table1[[#This Row],[PRINCIPAL]]</f>
        <v>64484.571870918095</v>
      </c>
      <c r="I142" s="7">
        <f>Table1[[#This Row],[INTEREST]]+I141</f>
        <v>98922.814772634723</v>
      </c>
      <c r="J142" s="11"/>
      <c r="K142" s="7">
        <f t="shared" si="22"/>
        <v>168737.48088997189</v>
      </c>
      <c r="L142" s="7">
        <f>+References!$B$1-Table1[[#This Row],[INTEREST ]]</f>
        <v>630.71126095864724</v>
      </c>
      <c r="M142" s="5">
        <f>+Inputs!$B$11</f>
        <v>100</v>
      </c>
      <c r="N142" s="7">
        <f>+Table1[[#This Row],[BEGINNING BALANCE ]]*Inputs!$B$4/12</f>
        <v>544.88144870720089</v>
      </c>
      <c r="O142" s="7">
        <f>+SUM(Table1[[#This Row],[PRINCIPAL ]:[INTEREST ]])</f>
        <v>1275.5927096658481</v>
      </c>
      <c r="P142" s="7">
        <f>+Table1[[#This Row],[BEGINNING BALANCE ]]-Table1[[#This Row],[PRINCIPAL ]]-Table1[[#This Row],[EXTRA PAYMENT]]</f>
        <v>168006.76962901326</v>
      </c>
      <c r="Q142" s="5">
        <f>+Table1[[#This Row],[PRINCIPAL ]]+Table1[[#This Row],[EXTRA PAYMENT]]+Q141</f>
        <v>81993.230370986785</v>
      </c>
      <c r="R142" s="7">
        <f>+Table1[[#This Row],[INTEREST ]]+R141</f>
        <v>95314.156272566019</v>
      </c>
    </row>
    <row r="143" spans="1:18" x14ac:dyDescent="0.25">
      <c r="A143">
        <f t="shared" si="17"/>
        <v>140</v>
      </c>
      <c r="B143" s="1">
        <f t="shared" si="18"/>
        <v>44866</v>
      </c>
      <c r="C143" s="6">
        <f t="shared" si="19"/>
        <v>185515.42812908179</v>
      </c>
      <c r="D143" s="7">
        <f>PPMT(Inputs!$B$4/12,A143,Inputs!$B$5*12,-'Amortization Table'!$C$4)</f>
        <v>576.53247299902148</v>
      </c>
      <c r="E143" s="7">
        <f>IPMT(Inputs!$B$4/12,'Amortization Table'!A143,Inputs!$B$5*12,-'Amortization Table'!$C$4)</f>
        <v>599.06023666682677</v>
      </c>
      <c r="F143" s="7">
        <f t="shared" si="20"/>
        <v>1175.5927096658484</v>
      </c>
      <c r="G143" s="6">
        <f t="shared" si="21"/>
        <v>184938.89565608278</v>
      </c>
      <c r="H143" s="5">
        <f>+H142+Table1[[#This Row],[PRINCIPAL]]</f>
        <v>65061.104343917119</v>
      </c>
      <c r="I143" s="7">
        <f>Table1[[#This Row],[INTEREST]]+I142</f>
        <v>99521.875009301555</v>
      </c>
      <c r="J143" s="11"/>
      <c r="K143" s="7">
        <f t="shared" si="22"/>
        <v>168006.76962901326</v>
      </c>
      <c r="L143" s="7">
        <f>+References!$B$1-Table1[[#This Row],[INTEREST ]]</f>
        <v>633.07084940549282</v>
      </c>
      <c r="M143" s="5">
        <f>+Inputs!$B$11</f>
        <v>100</v>
      </c>
      <c r="N143" s="7">
        <f>+Table1[[#This Row],[BEGINNING BALANCE ]]*Inputs!$B$4/12</f>
        <v>542.52186026035531</v>
      </c>
      <c r="O143" s="7">
        <f>+SUM(Table1[[#This Row],[PRINCIPAL ]:[INTEREST ]])</f>
        <v>1275.5927096658481</v>
      </c>
      <c r="P143" s="7">
        <f>+Table1[[#This Row],[BEGINNING BALANCE ]]-Table1[[#This Row],[PRINCIPAL ]]-Table1[[#This Row],[EXTRA PAYMENT]]</f>
        <v>167273.69877960777</v>
      </c>
      <c r="Q143" s="5">
        <f>+Table1[[#This Row],[PRINCIPAL ]]+Table1[[#This Row],[EXTRA PAYMENT]]+Q142</f>
        <v>82726.301220392284</v>
      </c>
      <c r="R143" s="7">
        <f>+Table1[[#This Row],[INTEREST ]]+R142</f>
        <v>95856.678132826375</v>
      </c>
    </row>
    <row r="144" spans="1:18" x14ac:dyDescent="0.25">
      <c r="A144">
        <f t="shared" si="17"/>
        <v>141</v>
      </c>
      <c r="B144" s="1">
        <f t="shared" si="18"/>
        <v>44896</v>
      </c>
      <c r="C144" s="6">
        <f t="shared" si="19"/>
        <v>184938.89565608278</v>
      </c>
      <c r="D144" s="7">
        <f>PPMT(Inputs!$B$4/12,A144,Inputs!$B$5*12,-'Amortization Table'!$C$4)</f>
        <v>578.3941924430809</v>
      </c>
      <c r="E144" s="7">
        <f>IPMT(Inputs!$B$4/12,'Amortization Table'!A144,Inputs!$B$5*12,-'Amortization Table'!$C$4)</f>
        <v>597.19851722276735</v>
      </c>
      <c r="F144" s="7">
        <f t="shared" si="20"/>
        <v>1175.5927096658484</v>
      </c>
      <c r="G144" s="6">
        <f t="shared" si="21"/>
        <v>184360.5014636397</v>
      </c>
      <c r="H144" s="5">
        <f>+H143+Table1[[#This Row],[PRINCIPAL]]</f>
        <v>65639.498536360203</v>
      </c>
      <c r="I144" s="7">
        <f>Table1[[#This Row],[INTEREST]]+I143</f>
        <v>100119.07352652433</v>
      </c>
      <c r="J144" s="11"/>
      <c r="K144" s="7">
        <f t="shared" si="22"/>
        <v>167273.69877960777</v>
      </c>
      <c r="L144" s="7">
        <f>+References!$B$1-Table1[[#This Row],[INTEREST ]]</f>
        <v>635.4380573566981</v>
      </c>
      <c r="M144" s="5">
        <f>+Inputs!$B$11</f>
        <v>100</v>
      </c>
      <c r="N144" s="7">
        <f>+Table1[[#This Row],[BEGINNING BALANCE ]]*Inputs!$B$4/12</f>
        <v>540.15465230915004</v>
      </c>
      <c r="O144" s="7">
        <f>+SUM(Table1[[#This Row],[PRINCIPAL ]:[INTEREST ]])</f>
        <v>1275.5927096658481</v>
      </c>
      <c r="P144" s="7">
        <f>+Table1[[#This Row],[BEGINNING BALANCE ]]-Table1[[#This Row],[PRINCIPAL ]]-Table1[[#This Row],[EXTRA PAYMENT]]</f>
        <v>166538.26072225109</v>
      </c>
      <c r="Q144" s="5">
        <f>+Table1[[#This Row],[PRINCIPAL ]]+Table1[[#This Row],[EXTRA PAYMENT]]+Q143</f>
        <v>83461.739277748988</v>
      </c>
      <c r="R144" s="7">
        <f>+Table1[[#This Row],[INTEREST ]]+R143</f>
        <v>96396.832785135528</v>
      </c>
    </row>
    <row r="145" spans="1:18" x14ac:dyDescent="0.25">
      <c r="A145">
        <f t="shared" si="17"/>
        <v>142</v>
      </c>
      <c r="B145" s="1">
        <f t="shared" si="18"/>
        <v>44927</v>
      </c>
      <c r="C145" s="6">
        <f t="shared" si="19"/>
        <v>184360.5014636397</v>
      </c>
      <c r="D145" s="7">
        <f>PPMT(Inputs!$B$4/12,A145,Inputs!$B$5*12,-'Amortization Table'!$C$4)</f>
        <v>580.26192368951149</v>
      </c>
      <c r="E145" s="7">
        <f>IPMT(Inputs!$B$4/12,'Amortization Table'!A145,Inputs!$B$5*12,-'Amortization Table'!$C$4)</f>
        <v>595.33078597633653</v>
      </c>
      <c r="F145" s="7">
        <f t="shared" si="20"/>
        <v>1175.5927096658479</v>
      </c>
      <c r="G145" s="6">
        <f t="shared" si="21"/>
        <v>183780.23953995018</v>
      </c>
      <c r="H145" s="5">
        <f>+H144+Table1[[#This Row],[PRINCIPAL]]</f>
        <v>66219.760460049714</v>
      </c>
      <c r="I145" s="7">
        <f>Table1[[#This Row],[INTEREST]]+I144</f>
        <v>100714.40431250066</v>
      </c>
      <c r="J145" s="11"/>
      <c r="K145" s="7">
        <f t="shared" si="22"/>
        <v>166538.26072225109</v>
      </c>
      <c r="L145" s="7">
        <f>+References!$B$1-Table1[[#This Row],[INTEREST ]]</f>
        <v>637.81290941691236</v>
      </c>
      <c r="M145" s="5">
        <f>+Inputs!$B$11</f>
        <v>100</v>
      </c>
      <c r="N145" s="7">
        <f>+Table1[[#This Row],[BEGINNING BALANCE ]]*Inputs!$B$4/12</f>
        <v>537.77980024893577</v>
      </c>
      <c r="O145" s="7">
        <f>+SUM(Table1[[#This Row],[PRINCIPAL ]:[INTEREST ]])</f>
        <v>1275.5927096658481</v>
      </c>
      <c r="P145" s="7">
        <f>+Table1[[#This Row],[BEGINNING BALANCE ]]-Table1[[#This Row],[PRINCIPAL ]]-Table1[[#This Row],[EXTRA PAYMENT]]</f>
        <v>165800.44781283417</v>
      </c>
      <c r="Q145" s="5">
        <f>+Table1[[#This Row],[PRINCIPAL ]]+Table1[[#This Row],[EXTRA PAYMENT]]+Q144</f>
        <v>84199.5521871659</v>
      </c>
      <c r="R145" s="7">
        <f>+Table1[[#This Row],[INTEREST ]]+R144</f>
        <v>96934.612585384457</v>
      </c>
    </row>
    <row r="146" spans="1:18" x14ac:dyDescent="0.25">
      <c r="A146">
        <f t="shared" si="17"/>
        <v>143</v>
      </c>
      <c r="B146" s="1">
        <f t="shared" si="18"/>
        <v>44958</v>
      </c>
      <c r="C146" s="6">
        <f t="shared" si="19"/>
        <v>183780.23953995018</v>
      </c>
      <c r="D146" s="7">
        <f>PPMT(Inputs!$B$4/12,A146,Inputs!$B$5*12,-'Amortization Table'!$C$4)</f>
        <v>582.1356861514256</v>
      </c>
      <c r="E146" s="7">
        <f>IPMT(Inputs!$B$4/12,'Amortization Table'!A146,Inputs!$B$5*12,-'Amortization Table'!$C$4)</f>
        <v>593.45702351442242</v>
      </c>
      <c r="F146" s="7">
        <f t="shared" si="20"/>
        <v>1175.5927096658479</v>
      </c>
      <c r="G146" s="6">
        <f t="shared" si="21"/>
        <v>183198.10385379876</v>
      </c>
      <c r="H146" s="5">
        <f>+H145+Table1[[#This Row],[PRINCIPAL]]</f>
        <v>66801.896146201136</v>
      </c>
      <c r="I146" s="7">
        <f>Table1[[#This Row],[INTEREST]]+I145</f>
        <v>101307.86133601508</v>
      </c>
      <c r="J146" s="11"/>
      <c r="K146" s="7">
        <f t="shared" si="22"/>
        <v>165800.44781283417</v>
      </c>
      <c r="L146" s="7">
        <f>+References!$B$1-Table1[[#This Row],[INTEREST ]]</f>
        <v>640.19543027023781</v>
      </c>
      <c r="M146" s="5">
        <f>+Inputs!$B$11</f>
        <v>100</v>
      </c>
      <c r="N146" s="7">
        <f>+Table1[[#This Row],[BEGINNING BALANCE ]]*Inputs!$B$4/12</f>
        <v>535.39727939561033</v>
      </c>
      <c r="O146" s="7">
        <f>+SUM(Table1[[#This Row],[PRINCIPAL ]:[INTEREST ]])</f>
        <v>1275.5927096658481</v>
      </c>
      <c r="P146" s="7">
        <f>+Table1[[#This Row],[BEGINNING BALANCE ]]-Table1[[#This Row],[PRINCIPAL ]]-Table1[[#This Row],[EXTRA PAYMENT]]</f>
        <v>165060.25238256392</v>
      </c>
      <c r="Q146" s="5">
        <f>+Table1[[#This Row],[PRINCIPAL ]]+Table1[[#This Row],[EXTRA PAYMENT]]+Q145</f>
        <v>84939.747617436136</v>
      </c>
      <c r="R146" s="7">
        <f>+Table1[[#This Row],[INTEREST ]]+R145</f>
        <v>97470.009864780062</v>
      </c>
    </row>
    <row r="147" spans="1:18" x14ac:dyDescent="0.25">
      <c r="A147">
        <f t="shared" si="17"/>
        <v>144</v>
      </c>
      <c r="B147" s="1">
        <f t="shared" si="18"/>
        <v>44986</v>
      </c>
      <c r="C147" s="6">
        <f t="shared" si="19"/>
        <v>183198.10385379876</v>
      </c>
      <c r="D147" s="7">
        <f>PPMT(Inputs!$B$4/12,A147,Inputs!$B$5*12,-'Amortization Table'!$C$4)</f>
        <v>584.01549930462284</v>
      </c>
      <c r="E147" s="7">
        <f>IPMT(Inputs!$B$4/12,'Amortization Table'!A147,Inputs!$B$5*12,-'Amortization Table'!$C$4)</f>
        <v>591.5772103612253</v>
      </c>
      <c r="F147" s="7">
        <f t="shared" si="20"/>
        <v>1175.5927096658481</v>
      </c>
      <c r="G147" s="6">
        <f t="shared" si="21"/>
        <v>182614.08835449413</v>
      </c>
      <c r="H147" s="5">
        <f>+H146+Table1[[#This Row],[PRINCIPAL]]</f>
        <v>67385.911645505752</v>
      </c>
      <c r="I147" s="7">
        <f>Table1[[#This Row],[INTEREST]]+I146</f>
        <v>101899.4385463763</v>
      </c>
      <c r="J147" s="11"/>
      <c r="K147" s="7">
        <f t="shared" si="22"/>
        <v>165060.25238256392</v>
      </c>
      <c r="L147" s="7">
        <f>+References!$B$1-Table1[[#This Row],[INTEREST ]]</f>
        <v>642.58564468048542</v>
      </c>
      <c r="M147" s="5">
        <f>+Inputs!$B$11</f>
        <v>100</v>
      </c>
      <c r="N147" s="7">
        <f>+Table1[[#This Row],[BEGINNING BALANCE ]]*Inputs!$B$4/12</f>
        <v>533.00706498536272</v>
      </c>
      <c r="O147" s="7">
        <f>+SUM(Table1[[#This Row],[PRINCIPAL ]:[INTEREST ]])</f>
        <v>1275.5927096658481</v>
      </c>
      <c r="P147" s="7">
        <f>+Table1[[#This Row],[BEGINNING BALANCE ]]-Table1[[#This Row],[PRINCIPAL ]]-Table1[[#This Row],[EXTRA PAYMENT]]</f>
        <v>164317.66673788344</v>
      </c>
      <c r="Q147" s="5">
        <f>+Table1[[#This Row],[PRINCIPAL ]]+Table1[[#This Row],[EXTRA PAYMENT]]+Q146</f>
        <v>85682.333262116619</v>
      </c>
      <c r="R147" s="7">
        <f>+Table1[[#This Row],[INTEREST ]]+R146</f>
        <v>98003.016929765421</v>
      </c>
    </row>
    <row r="148" spans="1:18" x14ac:dyDescent="0.25">
      <c r="A148">
        <f t="shared" si="17"/>
        <v>145</v>
      </c>
      <c r="B148" s="1">
        <f t="shared" si="18"/>
        <v>45017</v>
      </c>
      <c r="C148" s="6">
        <f t="shared" si="19"/>
        <v>182614.08835449413</v>
      </c>
      <c r="D148" s="7">
        <f>PPMT(Inputs!$B$4/12,A148,Inputs!$B$5*12,-'Amortization Table'!$C$4)</f>
        <v>585.90138268779413</v>
      </c>
      <c r="E148" s="7">
        <f>IPMT(Inputs!$B$4/12,'Amortization Table'!A148,Inputs!$B$5*12,-'Amortization Table'!$C$4)</f>
        <v>589.69132697805401</v>
      </c>
      <c r="F148" s="7">
        <f t="shared" si="20"/>
        <v>1175.5927096658481</v>
      </c>
      <c r="G148" s="6">
        <f t="shared" si="21"/>
        <v>182028.18697180634</v>
      </c>
      <c r="H148" s="5">
        <f>+H147+Table1[[#This Row],[PRINCIPAL]]</f>
        <v>67971.813028193545</v>
      </c>
      <c r="I148" s="7">
        <f>Table1[[#This Row],[INTEREST]]+I147</f>
        <v>102489.12987335435</v>
      </c>
      <c r="J148" s="11"/>
      <c r="K148" s="7">
        <f t="shared" si="22"/>
        <v>164317.66673788344</v>
      </c>
      <c r="L148" s="7">
        <f>+References!$B$1-Table1[[#This Row],[INTEREST ]]</f>
        <v>644.98357749143281</v>
      </c>
      <c r="M148" s="5">
        <f>+Inputs!$B$11</f>
        <v>100</v>
      </c>
      <c r="N148" s="7">
        <f>+Table1[[#This Row],[BEGINNING BALANCE ]]*Inputs!$B$4/12</f>
        <v>530.60913217441532</v>
      </c>
      <c r="O148" s="7">
        <f>+SUM(Table1[[#This Row],[PRINCIPAL ]:[INTEREST ]])</f>
        <v>1275.5927096658481</v>
      </c>
      <c r="P148" s="7">
        <f>+Table1[[#This Row],[BEGINNING BALANCE ]]-Table1[[#This Row],[PRINCIPAL ]]-Table1[[#This Row],[EXTRA PAYMENT]]</f>
        <v>163572.68316039201</v>
      </c>
      <c r="Q148" s="5">
        <f>+Table1[[#This Row],[PRINCIPAL ]]+Table1[[#This Row],[EXTRA PAYMENT]]+Q147</f>
        <v>86427.316839608058</v>
      </c>
      <c r="R148" s="7">
        <f>+Table1[[#This Row],[INTEREST ]]+R147</f>
        <v>98533.626061939838</v>
      </c>
    </row>
    <row r="149" spans="1:18" x14ac:dyDescent="0.25">
      <c r="A149">
        <f t="shared" si="17"/>
        <v>146</v>
      </c>
      <c r="B149" s="1">
        <f t="shared" si="18"/>
        <v>45047</v>
      </c>
      <c r="C149" s="6">
        <f t="shared" si="19"/>
        <v>182028.18697180634</v>
      </c>
      <c r="D149" s="7">
        <f>PPMT(Inputs!$B$4/12,A149,Inputs!$B$5*12,-'Amortization Table'!$C$4)</f>
        <v>587.79335590272342</v>
      </c>
      <c r="E149" s="7">
        <f>IPMT(Inputs!$B$4/12,'Amortization Table'!A149,Inputs!$B$5*12,-'Amortization Table'!$C$4)</f>
        <v>587.79935376312471</v>
      </c>
      <c r="F149" s="7">
        <f t="shared" si="20"/>
        <v>1175.5927096658481</v>
      </c>
      <c r="G149" s="6">
        <f t="shared" si="21"/>
        <v>181440.39361590362</v>
      </c>
      <c r="H149" s="5">
        <f>+H148+Table1[[#This Row],[PRINCIPAL]]</f>
        <v>68559.606384096274</v>
      </c>
      <c r="I149" s="7">
        <f>Table1[[#This Row],[INTEREST]]+I148</f>
        <v>103076.92922711748</v>
      </c>
      <c r="J149" s="11"/>
      <c r="K149" s="7">
        <f t="shared" si="22"/>
        <v>163572.68316039201</v>
      </c>
      <c r="L149" s="7">
        <f>+References!$B$1-Table1[[#This Row],[INTEREST ]]</f>
        <v>647.38925362708221</v>
      </c>
      <c r="M149" s="5">
        <f>+Inputs!$B$11</f>
        <v>100</v>
      </c>
      <c r="N149" s="7">
        <f>+Table1[[#This Row],[BEGINNING BALANCE ]]*Inputs!$B$4/12</f>
        <v>528.20345603876592</v>
      </c>
      <c r="O149" s="7">
        <f>+SUM(Table1[[#This Row],[PRINCIPAL ]:[INTEREST ]])</f>
        <v>1275.5927096658481</v>
      </c>
      <c r="P149" s="7">
        <f>+Table1[[#This Row],[BEGINNING BALANCE ]]-Table1[[#This Row],[PRINCIPAL ]]-Table1[[#This Row],[EXTRA PAYMENT]]</f>
        <v>162825.29390676494</v>
      </c>
      <c r="Q149" s="5">
        <f>+Table1[[#This Row],[PRINCIPAL ]]+Table1[[#This Row],[EXTRA PAYMENT]]+Q148</f>
        <v>87174.706093235145</v>
      </c>
      <c r="R149" s="7">
        <f>+Table1[[#This Row],[INTEREST ]]+R148</f>
        <v>99061.829517978607</v>
      </c>
    </row>
    <row r="150" spans="1:18" x14ac:dyDescent="0.25">
      <c r="A150">
        <f t="shared" si="17"/>
        <v>147</v>
      </c>
      <c r="B150" s="1">
        <f t="shared" si="18"/>
        <v>45078</v>
      </c>
      <c r="C150" s="6">
        <f t="shared" si="19"/>
        <v>181440.39361590362</v>
      </c>
      <c r="D150" s="7">
        <f>PPMT(Inputs!$B$4/12,A150,Inputs!$B$5*12,-'Amortization Table'!$C$4)</f>
        <v>589.69143861449265</v>
      </c>
      <c r="E150" s="7">
        <f>IPMT(Inputs!$B$4/12,'Amortization Table'!A150,Inputs!$B$5*12,-'Amortization Table'!$C$4)</f>
        <v>585.90127105135548</v>
      </c>
      <c r="F150" s="7">
        <f t="shared" si="20"/>
        <v>1175.5927096658481</v>
      </c>
      <c r="G150" s="6">
        <f t="shared" si="21"/>
        <v>180850.70217728912</v>
      </c>
      <c r="H150" s="5">
        <f>+H149+Table1[[#This Row],[PRINCIPAL]]</f>
        <v>69149.297822710767</v>
      </c>
      <c r="I150" s="7">
        <f>Table1[[#This Row],[INTEREST]]+I149</f>
        <v>103662.83049816883</v>
      </c>
      <c r="J150" s="11"/>
      <c r="K150" s="7">
        <f t="shared" si="22"/>
        <v>162825.29390676494</v>
      </c>
      <c r="L150" s="7">
        <f>+References!$B$1-Table1[[#This Row],[INTEREST ]]</f>
        <v>649.80269809191975</v>
      </c>
      <c r="M150" s="5">
        <f>+Inputs!$B$11</f>
        <v>100</v>
      </c>
      <c r="N150" s="7">
        <f>+Table1[[#This Row],[BEGINNING BALANCE ]]*Inputs!$B$4/12</f>
        <v>525.79001157392838</v>
      </c>
      <c r="O150" s="7">
        <f>+SUM(Table1[[#This Row],[PRINCIPAL ]:[INTEREST ]])</f>
        <v>1275.5927096658481</v>
      </c>
      <c r="P150" s="7">
        <f>+Table1[[#This Row],[BEGINNING BALANCE ]]-Table1[[#This Row],[PRINCIPAL ]]-Table1[[#This Row],[EXTRA PAYMENT]]</f>
        <v>162075.49120867302</v>
      </c>
      <c r="Q150" s="5">
        <f>+Table1[[#This Row],[PRINCIPAL ]]+Table1[[#This Row],[EXTRA PAYMENT]]+Q149</f>
        <v>87924.508791327069</v>
      </c>
      <c r="R150" s="7">
        <f>+Table1[[#This Row],[INTEREST ]]+R149</f>
        <v>99587.619529552539</v>
      </c>
    </row>
    <row r="151" spans="1:18" x14ac:dyDescent="0.25">
      <c r="A151">
        <f t="shared" si="17"/>
        <v>148</v>
      </c>
      <c r="B151" s="1">
        <f t="shared" si="18"/>
        <v>45108</v>
      </c>
      <c r="C151" s="6">
        <f t="shared" si="19"/>
        <v>180850.70217728912</v>
      </c>
      <c r="D151" s="7">
        <f>PPMT(Inputs!$B$4/12,A151,Inputs!$B$5*12,-'Amortization Table'!$C$4)</f>
        <v>591.59565055168525</v>
      </c>
      <c r="E151" s="7">
        <f>IPMT(Inputs!$B$4/12,'Amortization Table'!A151,Inputs!$B$5*12,-'Amortization Table'!$C$4)</f>
        <v>583.99705911416288</v>
      </c>
      <c r="F151" s="7">
        <f t="shared" si="20"/>
        <v>1175.5927096658481</v>
      </c>
      <c r="G151" s="6">
        <f t="shared" si="21"/>
        <v>180259.10652673742</v>
      </c>
      <c r="H151" s="5">
        <f>+H150+Table1[[#This Row],[PRINCIPAL]]</f>
        <v>69740.893473262448</v>
      </c>
      <c r="I151" s="7">
        <f>Table1[[#This Row],[INTEREST]]+I150</f>
        <v>104246.82755728299</v>
      </c>
      <c r="J151" s="11"/>
      <c r="K151" s="7">
        <f t="shared" si="22"/>
        <v>162075.49120867302</v>
      </c>
      <c r="L151" s="7">
        <f>+References!$B$1-Table1[[#This Row],[INTEREST ]]</f>
        <v>652.22393597117491</v>
      </c>
      <c r="M151" s="5">
        <f>+Inputs!$B$11</f>
        <v>100</v>
      </c>
      <c r="N151" s="7">
        <f>+Table1[[#This Row],[BEGINNING BALANCE ]]*Inputs!$B$4/12</f>
        <v>523.36877369467322</v>
      </c>
      <c r="O151" s="7">
        <f>+SUM(Table1[[#This Row],[PRINCIPAL ]:[INTEREST ]])</f>
        <v>1275.5927096658481</v>
      </c>
      <c r="P151" s="7">
        <f>+Table1[[#This Row],[BEGINNING BALANCE ]]-Table1[[#This Row],[PRINCIPAL ]]-Table1[[#This Row],[EXTRA PAYMENT]]</f>
        <v>161323.26727270184</v>
      </c>
      <c r="Q151" s="5">
        <f>+Table1[[#This Row],[PRINCIPAL ]]+Table1[[#This Row],[EXTRA PAYMENT]]+Q150</f>
        <v>88676.732727298251</v>
      </c>
      <c r="R151" s="7">
        <f>+Table1[[#This Row],[INTEREST ]]+R150</f>
        <v>100110.98830324721</v>
      </c>
    </row>
    <row r="152" spans="1:18" x14ac:dyDescent="0.25">
      <c r="A152">
        <f t="shared" si="17"/>
        <v>149</v>
      </c>
      <c r="B152" s="1">
        <f t="shared" si="18"/>
        <v>45139</v>
      </c>
      <c r="C152" s="6">
        <f t="shared" si="19"/>
        <v>180259.10652673742</v>
      </c>
      <c r="D152" s="7">
        <f>PPMT(Inputs!$B$4/12,A152,Inputs!$B$5*12,-'Amortization Table'!$C$4)</f>
        <v>593.50601150659179</v>
      </c>
      <c r="E152" s="7">
        <f>IPMT(Inputs!$B$4/12,'Amortization Table'!A152,Inputs!$B$5*12,-'Amortization Table'!$C$4)</f>
        <v>582.08669815925634</v>
      </c>
      <c r="F152" s="7">
        <f t="shared" si="20"/>
        <v>1175.5927096658481</v>
      </c>
      <c r="G152" s="6">
        <f t="shared" si="21"/>
        <v>179665.60051523082</v>
      </c>
      <c r="H152" s="5">
        <f>+H151+Table1[[#This Row],[PRINCIPAL]]</f>
        <v>70334.399484769034</v>
      </c>
      <c r="I152" s="7">
        <f>Table1[[#This Row],[INTEREST]]+I151</f>
        <v>104828.91425544224</v>
      </c>
      <c r="J152" s="11"/>
      <c r="K152" s="7">
        <f t="shared" si="22"/>
        <v>161323.26727270184</v>
      </c>
      <c r="L152" s="7">
        <f>+References!$B$1-Table1[[#This Row],[INTEREST ]]</f>
        <v>654.65299243108177</v>
      </c>
      <c r="M152" s="5">
        <f>+Inputs!$B$11</f>
        <v>100</v>
      </c>
      <c r="N152" s="7">
        <f>+Table1[[#This Row],[BEGINNING BALANCE ]]*Inputs!$B$4/12</f>
        <v>520.93971723476636</v>
      </c>
      <c r="O152" s="7">
        <f>+SUM(Table1[[#This Row],[PRINCIPAL ]:[INTEREST ]])</f>
        <v>1275.5927096658481</v>
      </c>
      <c r="P152" s="7">
        <f>+Table1[[#This Row],[BEGINNING BALANCE ]]-Table1[[#This Row],[PRINCIPAL ]]-Table1[[#This Row],[EXTRA PAYMENT]]</f>
        <v>160568.61428027076</v>
      </c>
      <c r="Q152" s="5">
        <f>+Table1[[#This Row],[PRINCIPAL ]]+Table1[[#This Row],[EXTRA PAYMENT]]+Q151</f>
        <v>89431.38571972934</v>
      </c>
      <c r="R152" s="7">
        <f>+Table1[[#This Row],[INTEREST ]]+R151</f>
        <v>100631.92802048198</v>
      </c>
    </row>
    <row r="153" spans="1:18" x14ac:dyDescent="0.25">
      <c r="A153">
        <f t="shared" si="17"/>
        <v>150</v>
      </c>
      <c r="B153" s="1">
        <f t="shared" si="18"/>
        <v>45170</v>
      </c>
      <c r="C153" s="6">
        <f t="shared" si="19"/>
        <v>179665.60051523082</v>
      </c>
      <c r="D153" s="7">
        <f>PPMT(Inputs!$B$4/12,A153,Inputs!$B$5*12,-'Amortization Table'!$C$4)</f>
        <v>595.42254133541508</v>
      </c>
      <c r="E153" s="7">
        <f>IPMT(Inputs!$B$4/12,'Amortization Table'!A153,Inputs!$B$5*12,-'Amortization Table'!$C$4)</f>
        <v>580.17016833043306</v>
      </c>
      <c r="F153" s="7">
        <f t="shared" si="20"/>
        <v>1175.5927096658481</v>
      </c>
      <c r="G153" s="6">
        <f t="shared" si="21"/>
        <v>179070.17797389539</v>
      </c>
      <c r="H153" s="5">
        <f>+H152+Table1[[#This Row],[PRINCIPAL]]</f>
        <v>70929.822026104448</v>
      </c>
      <c r="I153" s="7">
        <f>Table1[[#This Row],[INTEREST]]+I152</f>
        <v>105409.08442377267</v>
      </c>
      <c r="J153" s="11"/>
      <c r="K153" s="7">
        <f t="shared" si="22"/>
        <v>160568.61428027076</v>
      </c>
      <c r="L153" s="7">
        <f>+References!$B$1-Table1[[#This Row],[INTEREST ]]</f>
        <v>657.08989271914049</v>
      </c>
      <c r="M153" s="5">
        <f>+Inputs!$B$11</f>
        <v>100</v>
      </c>
      <c r="N153" s="7">
        <f>+Table1[[#This Row],[BEGINNING BALANCE ]]*Inputs!$B$4/12</f>
        <v>518.50281694670764</v>
      </c>
      <c r="O153" s="7">
        <f>+SUM(Table1[[#This Row],[PRINCIPAL ]:[INTEREST ]])</f>
        <v>1275.5927096658481</v>
      </c>
      <c r="P153" s="7">
        <f>+Table1[[#This Row],[BEGINNING BALANCE ]]-Table1[[#This Row],[PRINCIPAL ]]-Table1[[#This Row],[EXTRA PAYMENT]]</f>
        <v>159811.52438755162</v>
      </c>
      <c r="Q153" s="5">
        <f>+Table1[[#This Row],[PRINCIPAL ]]+Table1[[#This Row],[EXTRA PAYMENT]]+Q152</f>
        <v>90188.475612448485</v>
      </c>
      <c r="R153" s="7">
        <f>+Table1[[#This Row],[INTEREST ]]+R152</f>
        <v>101150.43083742869</v>
      </c>
    </row>
    <row r="154" spans="1:18" x14ac:dyDescent="0.25">
      <c r="A154">
        <f t="shared" si="17"/>
        <v>151</v>
      </c>
      <c r="B154" s="1">
        <f t="shared" si="18"/>
        <v>45200</v>
      </c>
      <c r="C154" s="6">
        <f t="shared" si="19"/>
        <v>179070.17797389539</v>
      </c>
      <c r="D154" s="7">
        <f>PPMT(Inputs!$B$4/12,A154,Inputs!$B$5*12,-'Amortization Table'!$C$4)</f>
        <v>597.3452599584773</v>
      </c>
      <c r="E154" s="7">
        <f>IPMT(Inputs!$B$4/12,'Amortization Table'!A154,Inputs!$B$5*12,-'Amortization Table'!$C$4)</f>
        <v>578.24744970737072</v>
      </c>
      <c r="F154" s="7">
        <f t="shared" si="20"/>
        <v>1175.5927096658479</v>
      </c>
      <c r="G154" s="6">
        <f t="shared" si="21"/>
        <v>178472.83271393692</v>
      </c>
      <c r="H154" s="5">
        <f>+H153+Table1[[#This Row],[PRINCIPAL]]</f>
        <v>71527.167286062919</v>
      </c>
      <c r="I154" s="7">
        <f>Table1[[#This Row],[INTEREST]]+I153</f>
        <v>105987.33187348004</v>
      </c>
      <c r="J154" s="11"/>
      <c r="K154" s="7">
        <f t="shared" si="22"/>
        <v>159811.52438755162</v>
      </c>
      <c r="L154" s="7">
        <f>+References!$B$1-Table1[[#This Row],[INTEREST ]]</f>
        <v>659.53466216437937</v>
      </c>
      <c r="M154" s="5">
        <f>+Inputs!$B$11</f>
        <v>100</v>
      </c>
      <c r="N154" s="7">
        <f>+Table1[[#This Row],[BEGINNING BALANCE ]]*Inputs!$B$4/12</f>
        <v>516.05804750146876</v>
      </c>
      <c r="O154" s="7">
        <f>+SUM(Table1[[#This Row],[PRINCIPAL ]:[INTEREST ]])</f>
        <v>1275.5927096658481</v>
      </c>
      <c r="P154" s="7">
        <f>+Table1[[#This Row],[BEGINNING BALANCE ]]-Table1[[#This Row],[PRINCIPAL ]]-Table1[[#This Row],[EXTRA PAYMENT]]</f>
        <v>159051.98972538725</v>
      </c>
      <c r="Q154" s="5">
        <f>+Table1[[#This Row],[PRINCIPAL ]]+Table1[[#This Row],[EXTRA PAYMENT]]+Q153</f>
        <v>90948.010274612869</v>
      </c>
      <c r="R154" s="7">
        <f>+Table1[[#This Row],[INTEREST ]]+R153</f>
        <v>101666.48888493016</v>
      </c>
    </row>
    <row r="155" spans="1:18" x14ac:dyDescent="0.25">
      <c r="A155">
        <f t="shared" si="17"/>
        <v>152</v>
      </c>
      <c r="B155" s="1">
        <f t="shared" si="18"/>
        <v>45231</v>
      </c>
      <c r="C155" s="6">
        <f t="shared" si="19"/>
        <v>178472.83271393692</v>
      </c>
      <c r="D155" s="7">
        <f>PPMT(Inputs!$B$4/12,A155,Inputs!$B$5*12,-'Amortization Table'!$C$4)</f>
        <v>599.27418736042671</v>
      </c>
      <c r="E155" s="7">
        <f>IPMT(Inputs!$B$4/12,'Amortization Table'!A155,Inputs!$B$5*12,-'Amortization Table'!$C$4)</f>
        <v>576.31852230542154</v>
      </c>
      <c r="F155" s="7">
        <f t="shared" si="20"/>
        <v>1175.5927096658484</v>
      </c>
      <c r="G155" s="6">
        <f t="shared" si="21"/>
        <v>177873.5585265765</v>
      </c>
      <c r="H155" s="5">
        <f>+H154+Table1[[#This Row],[PRINCIPAL]]</f>
        <v>72126.441473423343</v>
      </c>
      <c r="I155" s="7">
        <f>Table1[[#This Row],[INTEREST]]+I154</f>
        <v>106563.65039578546</v>
      </c>
      <c r="J155" s="11"/>
      <c r="K155" s="7">
        <f t="shared" si="22"/>
        <v>159051.98972538725</v>
      </c>
      <c r="L155" s="7">
        <f>+References!$B$1-Table1[[#This Row],[INTEREST ]]</f>
        <v>661.98732617761846</v>
      </c>
      <c r="M155" s="5">
        <f>+Inputs!$B$11</f>
        <v>100</v>
      </c>
      <c r="N155" s="7">
        <f>+Table1[[#This Row],[BEGINNING BALANCE ]]*Inputs!$B$4/12</f>
        <v>513.60538348822968</v>
      </c>
      <c r="O155" s="7">
        <f>+SUM(Table1[[#This Row],[PRINCIPAL ]:[INTEREST ]])</f>
        <v>1275.5927096658481</v>
      </c>
      <c r="P155" s="7">
        <f>+Table1[[#This Row],[BEGINNING BALANCE ]]-Table1[[#This Row],[PRINCIPAL ]]-Table1[[#This Row],[EXTRA PAYMENT]]</f>
        <v>158290.00239920962</v>
      </c>
      <c r="Q155" s="5">
        <f>+Table1[[#This Row],[PRINCIPAL ]]+Table1[[#This Row],[EXTRA PAYMENT]]+Q154</f>
        <v>91709.997600790492</v>
      </c>
      <c r="R155" s="7">
        <f>+Table1[[#This Row],[INTEREST ]]+R154</f>
        <v>102180.0942684184</v>
      </c>
    </row>
    <row r="156" spans="1:18" x14ac:dyDescent="0.25">
      <c r="A156">
        <f t="shared" si="17"/>
        <v>153</v>
      </c>
      <c r="B156" s="1">
        <f t="shared" si="18"/>
        <v>45261</v>
      </c>
      <c r="C156" s="6">
        <f t="shared" si="19"/>
        <v>177873.5585265765</v>
      </c>
      <c r="D156" s="7">
        <f>PPMT(Inputs!$B$4/12,A156,Inputs!$B$5*12,-'Amortization Table'!$C$4)</f>
        <v>601.20934359044475</v>
      </c>
      <c r="E156" s="7">
        <f>IPMT(Inputs!$B$4/12,'Amortization Table'!A156,Inputs!$B$5*12,-'Amortization Table'!$C$4)</f>
        <v>574.3833660754035</v>
      </c>
      <c r="F156" s="7">
        <f t="shared" si="20"/>
        <v>1175.5927096658484</v>
      </c>
      <c r="G156" s="6">
        <f t="shared" si="21"/>
        <v>177272.34918298604</v>
      </c>
      <c r="H156" s="5">
        <f>+H155+Table1[[#This Row],[PRINCIPAL]]</f>
        <v>72727.650817013782</v>
      </c>
      <c r="I156" s="7">
        <f>Table1[[#This Row],[INTEREST]]+I155</f>
        <v>107138.03376186086</v>
      </c>
      <c r="J156" s="11"/>
      <c r="K156" s="7">
        <f t="shared" si="22"/>
        <v>158290.00239920962</v>
      </c>
      <c r="L156" s="7">
        <f>+References!$B$1-Table1[[#This Row],[INTEREST ]]</f>
        <v>664.44791025173367</v>
      </c>
      <c r="M156" s="5">
        <f>+Inputs!$B$11</f>
        <v>100</v>
      </c>
      <c r="N156" s="7">
        <f>+Table1[[#This Row],[BEGINNING BALANCE ]]*Inputs!$B$4/12</f>
        <v>511.1447994141144</v>
      </c>
      <c r="O156" s="7">
        <f>+SUM(Table1[[#This Row],[PRINCIPAL ]:[INTEREST ]])</f>
        <v>1275.5927096658481</v>
      </c>
      <c r="P156" s="7">
        <f>+Table1[[#This Row],[BEGINNING BALANCE ]]-Table1[[#This Row],[PRINCIPAL ]]-Table1[[#This Row],[EXTRA PAYMENT]]</f>
        <v>157525.55448895789</v>
      </c>
      <c r="Q156" s="5">
        <f>+Table1[[#This Row],[PRINCIPAL ]]+Table1[[#This Row],[EXTRA PAYMENT]]+Q155</f>
        <v>92474.445511042228</v>
      </c>
      <c r="R156" s="7">
        <f>+Table1[[#This Row],[INTEREST ]]+R155</f>
        <v>102691.23906783252</v>
      </c>
    </row>
    <row r="157" spans="1:18" x14ac:dyDescent="0.25">
      <c r="A157">
        <f t="shared" si="17"/>
        <v>154</v>
      </c>
      <c r="B157" s="1">
        <f t="shared" si="18"/>
        <v>45292</v>
      </c>
      <c r="C157" s="6">
        <f t="shared" si="19"/>
        <v>177272.34918298604</v>
      </c>
      <c r="D157" s="7">
        <f>PPMT(Inputs!$B$4/12,A157,Inputs!$B$5*12,-'Amortization Table'!$C$4)</f>
        <v>603.15074876245558</v>
      </c>
      <c r="E157" s="7">
        <f>IPMT(Inputs!$B$4/12,'Amortization Table'!A157,Inputs!$B$5*12,-'Amortization Table'!$C$4)</f>
        <v>572.44196090339267</v>
      </c>
      <c r="F157" s="7">
        <f t="shared" si="20"/>
        <v>1175.5927096658484</v>
      </c>
      <c r="G157" s="6">
        <f t="shared" si="21"/>
        <v>176669.1984342236</v>
      </c>
      <c r="H157" s="5">
        <f>+H156+Table1[[#This Row],[PRINCIPAL]]</f>
        <v>73330.801565776244</v>
      </c>
      <c r="I157" s="7">
        <f>Table1[[#This Row],[INTEREST]]+I156</f>
        <v>107710.47572276425</v>
      </c>
      <c r="J157" s="11"/>
      <c r="K157" s="7">
        <f t="shared" si="22"/>
        <v>157525.55448895789</v>
      </c>
      <c r="L157" s="7">
        <f>+References!$B$1-Table1[[#This Row],[INTEREST ]]</f>
        <v>666.9164399619217</v>
      </c>
      <c r="M157" s="5">
        <f>+Inputs!$B$11</f>
        <v>100</v>
      </c>
      <c r="N157" s="7">
        <f>+Table1[[#This Row],[BEGINNING BALANCE ]]*Inputs!$B$4/12</f>
        <v>508.67626970392649</v>
      </c>
      <c r="O157" s="7">
        <f>+SUM(Table1[[#This Row],[PRINCIPAL ]:[INTEREST ]])</f>
        <v>1275.5927096658481</v>
      </c>
      <c r="P157" s="7">
        <f>+Table1[[#This Row],[BEGINNING BALANCE ]]-Table1[[#This Row],[PRINCIPAL ]]-Table1[[#This Row],[EXTRA PAYMENT]]</f>
        <v>156758.63804899596</v>
      </c>
      <c r="Q157" s="5">
        <f>+Table1[[#This Row],[PRINCIPAL ]]+Table1[[#This Row],[EXTRA PAYMENT]]+Q156</f>
        <v>93241.361951004146</v>
      </c>
      <c r="R157" s="7">
        <f>+Table1[[#This Row],[INTEREST ]]+R156</f>
        <v>103199.91533753644</v>
      </c>
    </row>
    <row r="158" spans="1:18" x14ac:dyDescent="0.25">
      <c r="A158">
        <f t="shared" si="17"/>
        <v>155</v>
      </c>
      <c r="B158" s="1">
        <f t="shared" si="18"/>
        <v>45323</v>
      </c>
      <c r="C158" s="6">
        <f t="shared" si="19"/>
        <v>176669.1984342236</v>
      </c>
      <c r="D158" s="7">
        <f>PPMT(Inputs!$B$4/12,A158,Inputs!$B$5*12,-'Amortization Table'!$C$4)</f>
        <v>605.09842305533425</v>
      </c>
      <c r="E158" s="7">
        <f>IPMT(Inputs!$B$4/12,'Amortization Table'!A158,Inputs!$B$5*12,-'Amortization Table'!$C$4)</f>
        <v>570.494286610514</v>
      </c>
      <c r="F158" s="7">
        <f t="shared" si="20"/>
        <v>1175.5927096658484</v>
      </c>
      <c r="G158" s="6">
        <f t="shared" si="21"/>
        <v>176064.10001116825</v>
      </c>
      <c r="H158" s="5">
        <f>+H157+Table1[[#This Row],[PRINCIPAL]]</f>
        <v>73935.899988831574</v>
      </c>
      <c r="I158" s="7">
        <f>Table1[[#This Row],[INTEREST]]+I157</f>
        <v>108280.97000937477</v>
      </c>
      <c r="J158" s="11"/>
      <c r="K158" s="7">
        <f t="shared" si="22"/>
        <v>156758.63804899596</v>
      </c>
      <c r="L158" s="7">
        <f>+References!$B$1-Table1[[#This Row],[INTEREST ]]</f>
        <v>669.39294096596541</v>
      </c>
      <c r="M158" s="5">
        <f>+Inputs!$B$11</f>
        <v>100</v>
      </c>
      <c r="N158" s="7">
        <f>+Table1[[#This Row],[BEGINNING BALANCE ]]*Inputs!$B$4/12</f>
        <v>506.19976869988278</v>
      </c>
      <c r="O158" s="7">
        <f>+SUM(Table1[[#This Row],[PRINCIPAL ]:[INTEREST ]])</f>
        <v>1275.5927096658481</v>
      </c>
      <c r="P158" s="7">
        <f>+Table1[[#This Row],[BEGINNING BALANCE ]]-Table1[[#This Row],[PRINCIPAL ]]-Table1[[#This Row],[EXTRA PAYMENT]]</f>
        <v>155989.24510802998</v>
      </c>
      <c r="Q158" s="5">
        <f>+Table1[[#This Row],[PRINCIPAL ]]+Table1[[#This Row],[EXTRA PAYMENT]]+Q157</f>
        <v>94010.754891970108</v>
      </c>
      <c r="R158" s="7">
        <f>+Table1[[#This Row],[INTEREST ]]+R157</f>
        <v>103706.11510623632</v>
      </c>
    </row>
    <row r="159" spans="1:18" x14ac:dyDescent="0.25">
      <c r="A159">
        <f t="shared" si="17"/>
        <v>156</v>
      </c>
      <c r="B159" s="1">
        <f t="shared" si="18"/>
        <v>45352</v>
      </c>
      <c r="C159" s="6">
        <f t="shared" si="19"/>
        <v>176064.10001116825</v>
      </c>
      <c r="D159" s="7">
        <f>PPMT(Inputs!$B$4/12,A159,Inputs!$B$5*12,-'Amortization Table'!$C$4)</f>
        <v>607.05238671311713</v>
      </c>
      <c r="E159" s="7">
        <f>IPMT(Inputs!$B$4/12,'Amortization Table'!A159,Inputs!$B$5*12,-'Amortization Table'!$C$4)</f>
        <v>568.54032295273112</v>
      </c>
      <c r="F159" s="7">
        <f t="shared" si="20"/>
        <v>1175.5927096658484</v>
      </c>
      <c r="G159" s="6">
        <f t="shared" si="21"/>
        <v>175457.04762445512</v>
      </c>
      <c r="H159" s="5">
        <f>+H158+Table1[[#This Row],[PRINCIPAL]]</f>
        <v>74542.952375544686</v>
      </c>
      <c r="I159" s="7">
        <f>Table1[[#This Row],[INTEREST]]+I158</f>
        <v>108849.5103323275</v>
      </c>
      <c r="J159" s="11"/>
      <c r="K159" s="7">
        <f t="shared" si="22"/>
        <v>155989.24510802998</v>
      </c>
      <c r="L159" s="7">
        <f>+References!$B$1-Table1[[#This Row],[INTEREST ]]</f>
        <v>671.87743900450141</v>
      </c>
      <c r="M159" s="5">
        <f>+Inputs!$B$11</f>
        <v>100</v>
      </c>
      <c r="N159" s="7">
        <f>+Table1[[#This Row],[BEGINNING BALANCE ]]*Inputs!$B$4/12</f>
        <v>503.71527066134678</v>
      </c>
      <c r="O159" s="7">
        <f>+SUM(Table1[[#This Row],[PRINCIPAL ]:[INTEREST ]])</f>
        <v>1275.5927096658481</v>
      </c>
      <c r="P159" s="7">
        <f>+Table1[[#This Row],[BEGINNING BALANCE ]]-Table1[[#This Row],[PRINCIPAL ]]-Table1[[#This Row],[EXTRA PAYMENT]]</f>
        <v>155217.36766902547</v>
      </c>
      <c r="Q159" s="5">
        <f>+Table1[[#This Row],[PRINCIPAL ]]+Table1[[#This Row],[EXTRA PAYMENT]]+Q158</f>
        <v>94782.632330974608</v>
      </c>
      <c r="R159" s="7">
        <f>+Table1[[#This Row],[INTEREST ]]+R158</f>
        <v>104209.83037689766</v>
      </c>
    </row>
    <row r="160" spans="1:18" x14ac:dyDescent="0.25">
      <c r="A160">
        <f t="shared" si="17"/>
        <v>157</v>
      </c>
      <c r="B160" s="1">
        <f t="shared" si="18"/>
        <v>45383</v>
      </c>
      <c r="C160" s="6">
        <f t="shared" si="19"/>
        <v>175457.04762445512</v>
      </c>
      <c r="D160" s="7">
        <f>PPMT(Inputs!$B$4/12,A160,Inputs!$B$5*12,-'Amortization Table'!$C$4)</f>
        <v>609.01266004521153</v>
      </c>
      <c r="E160" s="7">
        <f>IPMT(Inputs!$B$4/12,'Amortization Table'!A160,Inputs!$B$5*12,-'Amortization Table'!$C$4)</f>
        <v>566.5800496206366</v>
      </c>
      <c r="F160" s="7">
        <f t="shared" si="20"/>
        <v>1175.5927096658481</v>
      </c>
      <c r="G160" s="6">
        <f t="shared" si="21"/>
        <v>174848.03496440992</v>
      </c>
      <c r="H160" s="5">
        <f>+H159+Table1[[#This Row],[PRINCIPAL]]</f>
        <v>75151.965035589892</v>
      </c>
      <c r="I160" s="7">
        <f>Table1[[#This Row],[INTEREST]]+I159</f>
        <v>109416.09038194813</v>
      </c>
      <c r="J160" s="11"/>
      <c r="K160" s="7">
        <f t="shared" si="22"/>
        <v>155217.36766902547</v>
      </c>
      <c r="L160" s="7">
        <f>+References!$B$1-Table1[[#This Row],[INTEREST ]]</f>
        <v>674.36995990128685</v>
      </c>
      <c r="M160" s="5">
        <f>+Inputs!$B$11</f>
        <v>100</v>
      </c>
      <c r="N160" s="7">
        <f>+Table1[[#This Row],[BEGINNING BALANCE ]]*Inputs!$B$4/12</f>
        <v>501.22274976456134</v>
      </c>
      <c r="O160" s="7">
        <f>+SUM(Table1[[#This Row],[PRINCIPAL ]:[INTEREST ]])</f>
        <v>1275.5927096658481</v>
      </c>
      <c r="P160" s="7">
        <f>+Table1[[#This Row],[BEGINNING BALANCE ]]-Table1[[#This Row],[PRINCIPAL ]]-Table1[[#This Row],[EXTRA PAYMENT]]</f>
        <v>154442.99770912417</v>
      </c>
      <c r="Q160" s="5">
        <f>+Table1[[#This Row],[PRINCIPAL ]]+Table1[[#This Row],[EXTRA PAYMENT]]+Q159</f>
        <v>95557.002290875898</v>
      </c>
      <c r="R160" s="7">
        <f>+Table1[[#This Row],[INTEREST ]]+R159</f>
        <v>104711.05312666223</v>
      </c>
    </row>
    <row r="161" spans="1:18" x14ac:dyDescent="0.25">
      <c r="A161">
        <f t="shared" si="17"/>
        <v>158</v>
      </c>
      <c r="B161" s="1">
        <f t="shared" si="18"/>
        <v>45413</v>
      </c>
      <c r="C161" s="6">
        <f t="shared" si="19"/>
        <v>174848.03496440992</v>
      </c>
      <c r="D161" s="7">
        <f>PPMT(Inputs!$B$4/12,A161,Inputs!$B$5*12,-'Amortization Table'!$C$4)</f>
        <v>610.97926342660764</v>
      </c>
      <c r="E161" s="7">
        <f>IPMT(Inputs!$B$4/12,'Amortization Table'!A161,Inputs!$B$5*12,-'Amortization Table'!$C$4)</f>
        <v>564.6134462392406</v>
      </c>
      <c r="F161" s="7">
        <f t="shared" si="20"/>
        <v>1175.5927096658484</v>
      </c>
      <c r="G161" s="6">
        <f t="shared" si="21"/>
        <v>174237.0557009833</v>
      </c>
      <c r="H161" s="5">
        <f>+H160+Table1[[#This Row],[PRINCIPAL]]</f>
        <v>75762.944299016497</v>
      </c>
      <c r="I161" s="7">
        <f>Table1[[#This Row],[INTEREST]]+I160</f>
        <v>109980.70382818737</v>
      </c>
      <c r="J161" s="11"/>
      <c r="K161" s="7">
        <f t="shared" si="22"/>
        <v>154442.99770912417</v>
      </c>
      <c r="L161" s="7">
        <f>+References!$B$1-Table1[[#This Row],[INTEREST ]]</f>
        <v>676.87052956346793</v>
      </c>
      <c r="M161" s="5">
        <f>+Inputs!$B$11</f>
        <v>100</v>
      </c>
      <c r="N161" s="7">
        <f>+Table1[[#This Row],[BEGINNING BALANCE ]]*Inputs!$B$4/12</f>
        <v>498.72218010238015</v>
      </c>
      <c r="O161" s="7">
        <f>+SUM(Table1[[#This Row],[PRINCIPAL ]:[INTEREST ]])</f>
        <v>1275.5927096658481</v>
      </c>
      <c r="P161" s="7">
        <f>+Table1[[#This Row],[BEGINNING BALANCE ]]-Table1[[#This Row],[PRINCIPAL ]]-Table1[[#This Row],[EXTRA PAYMENT]]</f>
        <v>153666.12717956072</v>
      </c>
      <c r="Q161" s="5">
        <f>+Table1[[#This Row],[PRINCIPAL ]]+Table1[[#This Row],[EXTRA PAYMENT]]+Q160</f>
        <v>96333.87282043937</v>
      </c>
      <c r="R161" s="7">
        <f>+Table1[[#This Row],[INTEREST ]]+R160</f>
        <v>105209.77530676461</v>
      </c>
    </row>
    <row r="162" spans="1:18" x14ac:dyDescent="0.25">
      <c r="A162">
        <f t="shared" si="17"/>
        <v>159</v>
      </c>
      <c r="B162" s="1">
        <f t="shared" si="18"/>
        <v>45444</v>
      </c>
      <c r="C162" s="6">
        <f t="shared" si="19"/>
        <v>174237.0557009833</v>
      </c>
      <c r="D162" s="7">
        <f>PPMT(Inputs!$B$4/12,A162,Inputs!$B$5*12,-'Amortization Table'!$C$4)</f>
        <v>612.95221729808929</v>
      </c>
      <c r="E162" s="7">
        <f>IPMT(Inputs!$B$4/12,'Amortization Table'!A162,Inputs!$B$5*12,-'Amortization Table'!$C$4)</f>
        <v>562.64049236775884</v>
      </c>
      <c r="F162" s="7">
        <f t="shared" si="20"/>
        <v>1175.5927096658481</v>
      </c>
      <c r="G162" s="6">
        <f t="shared" si="21"/>
        <v>173624.1034836852</v>
      </c>
      <c r="H162" s="5">
        <f>+H161+Table1[[#This Row],[PRINCIPAL]]</f>
        <v>76375.896516314591</v>
      </c>
      <c r="I162" s="7">
        <f>Table1[[#This Row],[INTEREST]]+I161</f>
        <v>110543.34432055513</v>
      </c>
      <c r="J162" s="11"/>
      <c r="K162" s="7">
        <f t="shared" si="22"/>
        <v>153666.12717956072</v>
      </c>
      <c r="L162" s="7">
        <f>+References!$B$1-Table1[[#This Row],[INTEREST ]]</f>
        <v>679.37917398185004</v>
      </c>
      <c r="M162" s="5">
        <f>+Inputs!$B$11</f>
        <v>100</v>
      </c>
      <c r="N162" s="7">
        <f>+Table1[[#This Row],[BEGINNING BALANCE ]]*Inputs!$B$4/12</f>
        <v>496.21353568399815</v>
      </c>
      <c r="O162" s="7">
        <f>+SUM(Table1[[#This Row],[PRINCIPAL ]:[INTEREST ]])</f>
        <v>1275.5927096658481</v>
      </c>
      <c r="P162" s="7">
        <f>+Table1[[#This Row],[BEGINNING BALANCE ]]-Table1[[#This Row],[PRINCIPAL ]]-Table1[[#This Row],[EXTRA PAYMENT]]</f>
        <v>152886.74800557888</v>
      </c>
      <c r="Q162" s="5">
        <f>+Table1[[#This Row],[PRINCIPAL ]]+Table1[[#This Row],[EXTRA PAYMENT]]+Q161</f>
        <v>97113.251994421225</v>
      </c>
      <c r="R162" s="7">
        <f>+Table1[[#This Row],[INTEREST ]]+R161</f>
        <v>105705.98884244861</v>
      </c>
    </row>
    <row r="163" spans="1:18" x14ac:dyDescent="0.25">
      <c r="A163">
        <f t="shared" si="17"/>
        <v>160</v>
      </c>
      <c r="B163" s="1">
        <f t="shared" si="18"/>
        <v>45474</v>
      </c>
      <c r="C163" s="6">
        <f t="shared" si="19"/>
        <v>173624.1034836852</v>
      </c>
      <c r="D163" s="7">
        <f>PPMT(Inputs!$B$4/12,A163,Inputs!$B$5*12,-'Amortization Table'!$C$4)</f>
        <v>614.93154216644768</v>
      </c>
      <c r="E163" s="7">
        <f>IPMT(Inputs!$B$4/12,'Amortization Table'!A163,Inputs!$B$5*12,-'Amortization Table'!$C$4)</f>
        <v>560.66116749940045</v>
      </c>
      <c r="F163" s="7">
        <f t="shared" si="20"/>
        <v>1175.5927096658481</v>
      </c>
      <c r="G163" s="6">
        <f t="shared" si="21"/>
        <v>173009.17194151875</v>
      </c>
      <c r="H163" s="5">
        <f>+H162+Table1[[#This Row],[PRINCIPAL]]</f>
        <v>76990.828058481042</v>
      </c>
      <c r="I163" s="7">
        <f>Table1[[#This Row],[INTEREST]]+I162</f>
        <v>111104.00548805454</v>
      </c>
      <c r="J163" s="11"/>
      <c r="K163" s="7">
        <f t="shared" si="22"/>
        <v>152886.74800557888</v>
      </c>
      <c r="L163" s="7">
        <f>+References!$B$1-Table1[[#This Row],[INTEREST ]]</f>
        <v>681.89591923116632</v>
      </c>
      <c r="M163" s="5">
        <f>+Inputs!$B$11</f>
        <v>100</v>
      </c>
      <c r="N163" s="7">
        <f>+Table1[[#This Row],[BEGINNING BALANCE ]]*Inputs!$B$4/12</f>
        <v>493.69679043468182</v>
      </c>
      <c r="O163" s="7">
        <f>+SUM(Table1[[#This Row],[PRINCIPAL ]:[INTEREST ]])</f>
        <v>1275.5927096658481</v>
      </c>
      <c r="P163" s="7">
        <f>+Table1[[#This Row],[BEGINNING BALANCE ]]-Table1[[#This Row],[PRINCIPAL ]]-Table1[[#This Row],[EXTRA PAYMENT]]</f>
        <v>152104.8520863477</v>
      </c>
      <c r="Q163" s="5">
        <f>+Table1[[#This Row],[PRINCIPAL ]]+Table1[[#This Row],[EXTRA PAYMENT]]+Q162</f>
        <v>97895.147913652385</v>
      </c>
      <c r="R163" s="7">
        <f>+Table1[[#This Row],[INTEREST ]]+R162</f>
        <v>106199.68563288329</v>
      </c>
    </row>
    <row r="164" spans="1:18" x14ac:dyDescent="0.25">
      <c r="A164">
        <f t="shared" si="17"/>
        <v>161</v>
      </c>
      <c r="B164" s="1">
        <f t="shared" si="18"/>
        <v>45505</v>
      </c>
      <c r="C164" s="6">
        <f t="shared" si="19"/>
        <v>173009.17194151875</v>
      </c>
      <c r="D164" s="7">
        <f>PPMT(Inputs!$B$4/12,A164,Inputs!$B$5*12,-'Amortization Table'!$C$4)</f>
        <v>616.91725860469342</v>
      </c>
      <c r="E164" s="7">
        <f>IPMT(Inputs!$B$4/12,'Amortization Table'!A164,Inputs!$B$5*12,-'Amortization Table'!$C$4)</f>
        <v>558.6754510611546</v>
      </c>
      <c r="F164" s="7">
        <f t="shared" si="20"/>
        <v>1175.5927096658479</v>
      </c>
      <c r="G164" s="6">
        <f t="shared" si="21"/>
        <v>172392.25468291406</v>
      </c>
      <c r="H164" s="5">
        <f>+H163+Table1[[#This Row],[PRINCIPAL]]</f>
        <v>77607.745317085733</v>
      </c>
      <c r="I164" s="7">
        <f>Table1[[#This Row],[INTEREST]]+I163</f>
        <v>111662.68093911569</v>
      </c>
      <c r="J164" s="11"/>
      <c r="K164" s="7">
        <f t="shared" si="22"/>
        <v>152104.8520863477</v>
      </c>
      <c r="L164" s="7">
        <f>+References!$B$1-Table1[[#This Row],[INTEREST ]]</f>
        <v>684.42079147035042</v>
      </c>
      <c r="M164" s="5">
        <f>+Inputs!$B$11</f>
        <v>100</v>
      </c>
      <c r="N164" s="7">
        <f>+Table1[[#This Row],[BEGINNING BALANCE ]]*Inputs!$B$4/12</f>
        <v>491.17191819549777</v>
      </c>
      <c r="O164" s="7">
        <f>+SUM(Table1[[#This Row],[PRINCIPAL ]:[INTEREST ]])</f>
        <v>1275.5927096658481</v>
      </c>
      <c r="P164" s="7">
        <f>+Table1[[#This Row],[BEGINNING BALANCE ]]-Table1[[#This Row],[PRINCIPAL ]]-Table1[[#This Row],[EXTRA PAYMENT]]</f>
        <v>151320.43129487734</v>
      </c>
      <c r="Q164" s="5">
        <f>+Table1[[#This Row],[PRINCIPAL ]]+Table1[[#This Row],[EXTRA PAYMENT]]+Q163</f>
        <v>98679.568705122729</v>
      </c>
      <c r="R164" s="7">
        <f>+Table1[[#This Row],[INTEREST ]]+R163</f>
        <v>106690.85755107879</v>
      </c>
    </row>
    <row r="165" spans="1:18" x14ac:dyDescent="0.25">
      <c r="A165">
        <f t="shared" si="17"/>
        <v>162</v>
      </c>
      <c r="B165" s="1">
        <f t="shared" si="18"/>
        <v>45536</v>
      </c>
      <c r="C165" s="6">
        <f t="shared" si="19"/>
        <v>172392.25468291406</v>
      </c>
      <c r="D165" s="7">
        <f>PPMT(Inputs!$B$4/12,A165,Inputs!$B$5*12,-'Amortization Table'!$C$4)</f>
        <v>618.90938725227124</v>
      </c>
      <c r="E165" s="7">
        <f>IPMT(Inputs!$B$4/12,'Amortization Table'!A165,Inputs!$B$5*12,-'Amortization Table'!$C$4)</f>
        <v>556.68332241357689</v>
      </c>
      <c r="F165" s="7">
        <f t="shared" si="20"/>
        <v>1175.5927096658481</v>
      </c>
      <c r="G165" s="6">
        <f t="shared" si="21"/>
        <v>171773.3452956618</v>
      </c>
      <c r="H165" s="5">
        <f>+H164+Table1[[#This Row],[PRINCIPAL]]</f>
        <v>78226.654704337998</v>
      </c>
      <c r="I165" s="7">
        <f>Table1[[#This Row],[INTEREST]]+I164</f>
        <v>112219.36426152926</v>
      </c>
      <c r="J165" s="11"/>
      <c r="K165" s="7">
        <f t="shared" si="22"/>
        <v>151320.43129487734</v>
      </c>
      <c r="L165" s="7">
        <f>+References!$B$1-Table1[[#This Row],[INTEREST ]]</f>
        <v>686.95381694280672</v>
      </c>
      <c r="M165" s="5">
        <f>+Inputs!$B$11</f>
        <v>100</v>
      </c>
      <c r="N165" s="7">
        <f>+Table1[[#This Row],[BEGINNING BALANCE ]]*Inputs!$B$4/12</f>
        <v>488.63889272304141</v>
      </c>
      <c r="O165" s="7">
        <f>+SUM(Table1[[#This Row],[PRINCIPAL ]:[INTEREST ]])</f>
        <v>1275.5927096658481</v>
      </c>
      <c r="P165" s="7">
        <f>+Table1[[#This Row],[BEGINNING BALANCE ]]-Table1[[#This Row],[PRINCIPAL ]]-Table1[[#This Row],[EXTRA PAYMENT]]</f>
        <v>150533.47747793453</v>
      </c>
      <c r="Q165" s="5">
        <f>+Table1[[#This Row],[PRINCIPAL ]]+Table1[[#This Row],[EXTRA PAYMENT]]+Q164</f>
        <v>99466.522522065541</v>
      </c>
      <c r="R165" s="7">
        <f>+Table1[[#This Row],[INTEREST ]]+R164</f>
        <v>107179.49644380184</v>
      </c>
    </row>
    <row r="166" spans="1:18" x14ac:dyDescent="0.25">
      <c r="A166">
        <f t="shared" ref="A166:A229" si="23">+A165+1</f>
        <v>163</v>
      </c>
      <c r="B166" s="1">
        <f t="shared" ref="B166:B229" si="24">+EOMONTH(B165,0)+1</f>
        <v>45566</v>
      </c>
      <c r="C166" s="6">
        <f t="shared" ref="C166:C229" si="25">+G165</f>
        <v>171773.3452956618</v>
      </c>
      <c r="D166" s="7">
        <f>PPMT(Inputs!$B$4/12,A166,Inputs!$B$5*12,-'Amortization Table'!$C$4)</f>
        <v>620.90794881527336</v>
      </c>
      <c r="E166" s="7">
        <f>IPMT(Inputs!$B$4/12,'Amortization Table'!A166,Inputs!$B$5*12,-'Amortization Table'!$C$4)</f>
        <v>554.68476085057489</v>
      </c>
      <c r="F166" s="7">
        <f t="shared" si="20"/>
        <v>1175.5927096658484</v>
      </c>
      <c r="G166" s="6">
        <f t="shared" si="21"/>
        <v>171152.43734684653</v>
      </c>
      <c r="H166" s="5">
        <f>+H165+Table1[[#This Row],[PRINCIPAL]]</f>
        <v>78847.562653153276</v>
      </c>
      <c r="I166" s="7">
        <f>Table1[[#This Row],[INTEREST]]+I165</f>
        <v>112774.04902237984</v>
      </c>
      <c r="J166" s="11"/>
      <c r="K166" s="7">
        <f t="shared" si="22"/>
        <v>150533.47747793453</v>
      </c>
      <c r="L166" s="7">
        <f>+References!$B$1-Table1[[#This Row],[INTEREST ]]</f>
        <v>689.49502197668448</v>
      </c>
      <c r="M166" s="5">
        <f>+Inputs!$B$11</f>
        <v>100</v>
      </c>
      <c r="N166" s="7">
        <f>+Table1[[#This Row],[BEGINNING BALANCE ]]*Inputs!$B$4/12</f>
        <v>486.09768768916359</v>
      </c>
      <c r="O166" s="7">
        <f>+SUM(Table1[[#This Row],[PRINCIPAL ]:[INTEREST ]])</f>
        <v>1275.5927096658481</v>
      </c>
      <c r="P166" s="7">
        <f>+Table1[[#This Row],[BEGINNING BALANCE ]]-Table1[[#This Row],[PRINCIPAL ]]-Table1[[#This Row],[EXTRA PAYMENT]]</f>
        <v>149743.98245595786</v>
      </c>
      <c r="Q166" s="5">
        <f>+Table1[[#This Row],[PRINCIPAL ]]+Table1[[#This Row],[EXTRA PAYMENT]]+Q165</f>
        <v>100256.01754404223</v>
      </c>
      <c r="R166" s="7">
        <f>+Table1[[#This Row],[INTEREST ]]+R165</f>
        <v>107665.594131491</v>
      </c>
    </row>
    <row r="167" spans="1:18" x14ac:dyDescent="0.25">
      <c r="A167">
        <f t="shared" si="23"/>
        <v>164</v>
      </c>
      <c r="B167" s="1">
        <f t="shared" si="24"/>
        <v>45597</v>
      </c>
      <c r="C167" s="6">
        <f t="shared" si="25"/>
        <v>171152.43734684653</v>
      </c>
      <c r="D167" s="7">
        <f>PPMT(Inputs!$B$4/12,A167,Inputs!$B$5*12,-'Amortization Table'!$C$4)</f>
        <v>622.91296406665595</v>
      </c>
      <c r="E167" s="7">
        <f>IPMT(Inputs!$B$4/12,'Amortization Table'!A167,Inputs!$B$5*12,-'Amortization Table'!$C$4)</f>
        <v>552.67974559919219</v>
      </c>
      <c r="F167" s="7">
        <f t="shared" si="20"/>
        <v>1175.5927096658481</v>
      </c>
      <c r="G167" s="6">
        <f t="shared" si="21"/>
        <v>170529.52438277987</v>
      </c>
      <c r="H167" s="5">
        <f>+H166+Table1[[#This Row],[PRINCIPAL]]</f>
        <v>79470.475617219927</v>
      </c>
      <c r="I167" s="7">
        <f>Table1[[#This Row],[INTEREST]]+I166</f>
        <v>113326.72876797903</v>
      </c>
      <c r="J167" s="11"/>
      <c r="K167" s="7">
        <f t="shared" si="22"/>
        <v>149743.98245595786</v>
      </c>
      <c r="L167" s="7">
        <f>+References!$B$1-Table1[[#This Row],[INTEREST ]]</f>
        <v>692.04443298515093</v>
      </c>
      <c r="M167" s="5">
        <f>+Inputs!$B$11</f>
        <v>100</v>
      </c>
      <c r="N167" s="7">
        <f>+Table1[[#This Row],[BEGINNING BALANCE ]]*Inputs!$B$4/12</f>
        <v>483.54827668069726</v>
      </c>
      <c r="O167" s="7">
        <f>+SUM(Table1[[#This Row],[PRINCIPAL ]:[INTEREST ]])</f>
        <v>1275.5927096658481</v>
      </c>
      <c r="P167" s="7">
        <f>+Table1[[#This Row],[BEGINNING BALANCE ]]-Table1[[#This Row],[PRINCIPAL ]]-Table1[[#This Row],[EXTRA PAYMENT]]</f>
        <v>148951.9380229727</v>
      </c>
      <c r="Q167" s="5">
        <f>+Table1[[#This Row],[PRINCIPAL ]]+Table1[[#This Row],[EXTRA PAYMENT]]+Q166</f>
        <v>101048.06197702738</v>
      </c>
      <c r="R167" s="7">
        <f>+Table1[[#This Row],[INTEREST ]]+R166</f>
        <v>108149.1424081717</v>
      </c>
    </row>
    <row r="168" spans="1:18" x14ac:dyDescent="0.25">
      <c r="A168">
        <f t="shared" si="23"/>
        <v>165</v>
      </c>
      <c r="B168" s="1">
        <f t="shared" si="24"/>
        <v>45627</v>
      </c>
      <c r="C168" s="6">
        <f t="shared" si="25"/>
        <v>170529.52438277987</v>
      </c>
      <c r="D168" s="7">
        <f>PPMT(Inputs!$B$4/12,A168,Inputs!$B$5*12,-'Amortization Table'!$C$4)</f>
        <v>624.92445384645453</v>
      </c>
      <c r="E168" s="7">
        <f>IPMT(Inputs!$B$4/12,'Amortization Table'!A168,Inputs!$B$5*12,-'Amortization Table'!$C$4)</f>
        <v>550.66825581939361</v>
      </c>
      <c r="F168" s="7">
        <f t="shared" si="20"/>
        <v>1175.5927096658481</v>
      </c>
      <c r="G168" s="6">
        <f t="shared" si="21"/>
        <v>169904.59992893343</v>
      </c>
      <c r="H168" s="5">
        <f>+H167+Table1[[#This Row],[PRINCIPAL]]</f>
        <v>80095.400071066382</v>
      </c>
      <c r="I168" s="7">
        <f>Table1[[#This Row],[INTEREST]]+I167</f>
        <v>113877.39702379843</v>
      </c>
      <c r="J168" s="11"/>
      <c r="K168" s="7">
        <f t="shared" si="22"/>
        <v>148951.9380229727</v>
      </c>
      <c r="L168" s="7">
        <f>+References!$B$1-Table1[[#This Row],[INTEREST ]]</f>
        <v>694.60207646666549</v>
      </c>
      <c r="M168" s="5">
        <f>+Inputs!$B$11</f>
        <v>100</v>
      </c>
      <c r="N168" s="7">
        <f>+Table1[[#This Row],[BEGINNING BALANCE ]]*Inputs!$B$4/12</f>
        <v>480.99063319918264</v>
      </c>
      <c r="O168" s="7">
        <f>+SUM(Table1[[#This Row],[PRINCIPAL ]:[INTEREST ]])</f>
        <v>1275.5927096658481</v>
      </c>
      <c r="P168" s="7">
        <f>+Table1[[#This Row],[BEGINNING BALANCE ]]-Table1[[#This Row],[PRINCIPAL ]]-Table1[[#This Row],[EXTRA PAYMENT]]</f>
        <v>148157.33594650603</v>
      </c>
      <c r="Q168" s="5">
        <f>+Table1[[#This Row],[PRINCIPAL ]]+Table1[[#This Row],[EXTRA PAYMENT]]+Q167</f>
        <v>101842.66405349404</v>
      </c>
      <c r="R168" s="7">
        <f>+Table1[[#This Row],[INTEREST ]]+R167</f>
        <v>108630.13304137088</v>
      </c>
    </row>
    <row r="169" spans="1:18" x14ac:dyDescent="0.25">
      <c r="A169">
        <f t="shared" si="23"/>
        <v>166</v>
      </c>
      <c r="B169" s="1">
        <f t="shared" si="24"/>
        <v>45658</v>
      </c>
      <c r="C169" s="6">
        <f t="shared" si="25"/>
        <v>169904.59992893343</v>
      </c>
      <c r="D169" s="7">
        <f>PPMT(Inputs!$B$4/12,A169,Inputs!$B$5*12,-'Amortization Table'!$C$4)</f>
        <v>626.9424390620004</v>
      </c>
      <c r="E169" s="7">
        <f>IPMT(Inputs!$B$4/12,'Amortization Table'!A169,Inputs!$B$5*12,-'Amortization Table'!$C$4)</f>
        <v>548.65027060384784</v>
      </c>
      <c r="F169" s="7">
        <f t="shared" si="20"/>
        <v>1175.5927096658484</v>
      </c>
      <c r="G169" s="6">
        <f t="shared" si="21"/>
        <v>169277.65748987143</v>
      </c>
      <c r="H169" s="5">
        <f>+H168+Table1[[#This Row],[PRINCIPAL]]</f>
        <v>80722.342510128379</v>
      </c>
      <c r="I169" s="7">
        <f>Table1[[#This Row],[INTEREST]]+I168</f>
        <v>114426.04729440228</v>
      </c>
      <c r="J169" s="11"/>
      <c r="K169" s="7">
        <f t="shared" si="22"/>
        <v>148157.33594650603</v>
      </c>
      <c r="L169" s="7">
        <f>+References!$B$1-Table1[[#This Row],[INTEREST ]]</f>
        <v>697.1679790052558</v>
      </c>
      <c r="M169" s="5">
        <f>+Inputs!$B$11</f>
        <v>100</v>
      </c>
      <c r="N169" s="7">
        <f>+Table1[[#This Row],[BEGINNING BALANCE ]]*Inputs!$B$4/12</f>
        <v>478.42473066059239</v>
      </c>
      <c r="O169" s="7">
        <f>+SUM(Table1[[#This Row],[PRINCIPAL ]:[INTEREST ]])</f>
        <v>1275.5927096658481</v>
      </c>
      <c r="P169" s="7">
        <f>+Table1[[#This Row],[BEGINNING BALANCE ]]-Table1[[#This Row],[PRINCIPAL ]]-Table1[[#This Row],[EXTRA PAYMENT]]</f>
        <v>147360.16796750078</v>
      </c>
      <c r="Q169" s="5">
        <f>+Table1[[#This Row],[PRINCIPAL ]]+Table1[[#This Row],[EXTRA PAYMENT]]+Q168</f>
        <v>102639.8320324993</v>
      </c>
      <c r="R169" s="7">
        <f>+Table1[[#This Row],[INTEREST ]]+R168</f>
        <v>109108.55777203148</v>
      </c>
    </row>
    <row r="170" spans="1:18" x14ac:dyDescent="0.25">
      <c r="A170">
        <f t="shared" si="23"/>
        <v>167</v>
      </c>
      <c r="B170" s="1">
        <f t="shared" si="24"/>
        <v>45689</v>
      </c>
      <c r="C170" s="6">
        <f t="shared" si="25"/>
        <v>169277.65748987143</v>
      </c>
      <c r="D170" s="7">
        <f>PPMT(Inputs!$B$4/12,A170,Inputs!$B$5*12,-'Amortization Table'!$C$4)</f>
        <v>628.96694068813804</v>
      </c>
      <c r="E170" s="7">
        <f>IPMT(Inputs!$B$4/12,'Amortization Table'!A170,Inputs!$B$5*12,-'Amortization Table'!$C$4)</f>
        <v>546.62576897770998</v>
      </c>
      <c r="F170" s="7">
        <f t="shared" si="20"/>
        <v>1175.5927096658479</v>
      </c>
      <c r="G170" s="6">
        <f t="shared" si="21"/>
        <v>168648.69054918329</v>
      </c>
      <c r="H170" s="5">
        <f>+H169+Table1[[#This Row],[PRINCIPAL]]</f>
        <v>81351.309450816523</v>
      </c>
      <c r="I170" s="7">
        <f>Table1[[#This Row],[INTEREST]]+I169</f>
        <v>114972.67306337999</v>
      </c>
      <c r="J170" s="11"/>
      <c r="K170" s="7">
        <f t="shared" si="22"/>
        <v>147360.16796750078</v>
      </c>
      <c r="L170" s="7">
        <f>+References!$B$1-Table1[[#This Row],[INTEREST ]]</f>
        <v>699.74216727079352</v>
      </c>
      <c r="M170" s="5">
        <f>+Inputs!$B$11</f>
        <v>100</v>
      </c>
      <c r="N170" s="7">
        <f>+Table1[[#This Row],[BEGINNING BALANCE ]]*Inputs!$B$4/12</f>
        <v>475.85054239505462</v>
      </c>
      <c r="O170" s="7">
        <f>+SUM(Table1[[#This Row],[PRINCIPAL ]:[INTEREST ]])</f>
        <v>1275.5927096658481</v>
      </c>
      <c r="P170" s="7">
        <f>+Table1[[#This Row],[BEGINNING BALANCE ]]-Table1[[#This Row],[PRINCIPAL ]]-Table1[[#This Row],[EXTRA PAYMENT]]</f>
        <v>146560.42580022998</v>
      </c>
      <c r="Q170" s="5">
        <f>+Table1[[#This Row],[PRINCIPAL ]]+Table1[[#This Row],[EXTRA PAYMENT]]+Q169</f>
        <v>103439.5741997701</v>
      </c>
      <c r="R170" s="7">
        <f>+Table1[[#This Row],[INTEREST ]]+R169</f>
        <v>109584.40831442653</v>
      </c>
    </row>
    <row r="171" spans="1:18" x14ac:dyDescent="0.25">
      <c r="A171">
        <f t="shared" si="23"/>
        <v>168</v>
      </c>
      <c r="B171" s="1">
        <f t="shared" si="24"/>
        <v>45717</v>
      </c>
      <c r="C171" s="6">
        <f t="shared" si="25"/>
        <v>168648.69054918329</v>
      </c>
      <c r="D171" s="7">
        <f>PPMT(Inputs!$B$4/12,A171,Inputs!$B$5*12,-'Amortization Table'!$C$4)</f>
        <v>630.99797976744355</v>
      </c>
      <c r="E171" s="7">
        <f>IPMT(Inputs!$B$4/12,'Amortization Table'!A171,Inputs!$B$5*12,-'Amortization Table'!$C$4)</f>
        <v>544.59472989840447</v>
      </c>
      <c r="F171" s="7">
        <f t="shared" si="20"/>
        <v>1175.5927096658479</v>
      </c>
      <c r="G171" s="6">
        <f t="shared" si="21"/>
        <v>168017.69256941584</v>
      </c>
      <c r="H171" s="5">
        <f>+H170+Table1[[#This Row],[PRINCIPAL]]</f>
        <v>81982.307430583969</v>
      </c>
      <c r="I171" s="7">
        <f>Table1[[#This Row],[INTEREST]]+I170</f>
        <v>115517.2677932784</v>
      </c>
      <c r="J171" s="11"/>
      <c r="K171" s="7">
        <f t="shared" si="22"/>
        <v>146560.42580022998</v>
      </c>
      <c r="L171" s="7">
        <f>+References!$B$1-Table1[[#This Row],[INTEREST ]]</f>
        <v>702.32466801927217</v>
      </c>
      <c r="M171" s="5">
        <f>+Inputs!$B$11</f>
        <v>100</v>
      </c>
      <c r="N171" s="7">
        <f>+Table1[[#This Row],[BEGINNING BALANCE ]]*Inputs!$B$4/12</f>
        <v>473.26804164657597</v>
      </c>
      <c r="O171" s="7">
        <f>+SUM(Table1[[#This Row],[PRINCIPAL ]:[INTEREST ]])</f>
        <v>1275.5927096658481</v>
      </c>
      <c r="P171" s="7">
        <f>+Table1[[#This Row],[BEGINNING BALANCE ]]-Table1[[#This Row],[PRINCIPAL ]]-Table1[[#This Row],[EXTRA PAYMENT]]</f>
        <v>145758.10113221069</v>
      </c>
      <c r="Q171" s="5">
        <f>+Table1[[#This Row],[PRINCIPAL ]]+Table1[[#This Row],[EXTRA PAYMENT]]+Q170</f>
        <v>104241.89886778936</v>
      </c>
      <c r="R171" s="7">
        <f>+Table1[[#This Row],[INTEREST ]]+R170</f>
        <v>110057.67635607311</v>
      </c>
    </row>
    <row r="172" spans="1:18" x14ac:dyDescent="0.25">
      <c r="A172">
        <f t="shared" si="23"/>
        <v>169</v>
      </c>
      <c r="B172" s="1">
        <f t="shared" si="24"/>
        <v>45748</v>
      </c>
      <c r="C172" s="6">
        <f t="shared" si="25"/>
        <v>168017.69256941584</v>
      </c>
      <c r="D172" s="7">
        <f>PPMT(Inputs!$B$4/12,A172,Inputs!$B$5*12,-'Amortization Table'!$C$4)</f>
        <v>633.03557741044256</v>
      </c>
      <c r="E172" s="7">
        <f>IPMT(Inputs!$B$4/12,'Amortization Table'!A172,Inputs!$B$5*12,-'Amortization Table'!$C$4)</f>
        <v>542.55713225540546</v>
      </c>
      <c r="F172" s="7">
        <f t="shared" si="20"/>
        <v>1175.5927096658479</v>
      </c>
      <c r="G172" s="6">
        <f t="shared" si="21"/>
        <v>167384.65699200539</v>
      </c>
      <c r="H172" s="5">
        <f>+H171+Table1[[#This Row],[PRINCIPAL]]</f>
        <v>82615.343007994408</v>
      </c>
      <c r="I172" s="7">
        <f>Table1[[#This Row],[INTEREST]]+I171</f>
        <v>116059.8249255338</v>
      </c>
      <c r="J172" s="11"/>
      <c r="K172" s="7">
        <f t="shared" si="22"/>
        <v>145758.10113221069</v>
      </c>
      <c r="L172" s="7">
        <f>+References!$B$1-Table1[[#This Row],[INTEREST ]]</f>
        <v>704.91550809308433</v>
      </c>
      <c r="M172" s="5">
        <f>+Inputs!$B$11</f>
        <v>100</v>
      </c>
      <c r="N172" s="7">
        <f>+Table1[[#This Row],[BEGINNING BALANCE ]]*Inputs!$B$4/12</f>
        <v>470.67720157276375</v>
      </c>
      <c r="O172" s="7">
        <f>+SUM(Table1[[#This Row],[PRINCIPAL ]:[INTEREST ]])</f>
        <v>1275.5927096658481</v>
      </c>
      <c r="P172" s="7">
        <f>+Table1[[#This Row],[BEGINNING BALANCE ]]-Table1[[#This Row],[PRINCIPAL ]]-Table1[[#This Row],[EXTRA PAYMENT]]</f>
        <v>144953.18562411761</v>
      </c>
      <c r="Q172" s="5">
        <f>+Table1[[#This Row],[PRINCIPAL ]]+Table1[[#This Row],[EXTRA PAYMENT]]+Q171</f>
        <v>105046.81437588244</v>
      </c>
      <c r="R172" s="7">
        <f>+Table1[[#This Row],[INTEREST ]]+R171</f>
        <v>110528.35355764587</v>
      </c>
    </row>
    <row r="173" spans="1:18" x14ac:dyDescent="0.25">
      <c r="A173">
        <f t="shared" si="23"/>
        <v>170</v>
      </c>
      <c r="B173" s="1">
        <f t="shared" si="24"/>
        <v>45778</v>
      </c>
      <c r="C173" s="6">
        <f t="shared" si="25"/>
        <v>167384.65699200539</v>
      </c>
      <c r="D173" s="7">
        <f>PPMT(Inputs!$B$4/12,A173,Inputs!$B$5*12,-'Amortization Table'!$C$4)</f>
        <v>635.07975479583047</v>
      </c>
      <c r="E173" s="7">
        <f>IPMT(Inputs!$B$4/12,'Amortization Table'!A173,Inputs!$B$5*12,-'Amortization Table'!$C$4)</f>
        <v>540.51295487001755</v>
      </c>
      <c r="F173" s="7">
        <f t="shared" si="20"/>
        <v>1175.5927096658479</v>
      </c>
      <c r="G173" s="6">
        <f t="shared" si="21"/>
        <v>166749.57723720957</v>
      </c>
      <c r="H173" s="5">
        <f>+H172+Table1[[#This Row],[PRINCIPAL]]</f>
        <v>83250.422762790244</v>
      </c>
      <c r="I173" s="7">
        <f>Table1[[#This Row],[INTEREST]]+I172</f>
        <v>116600.33788040382</v>
      </c>
      <c r="J173" s="11"/>
      <c r="K173" s="7">
        <f t="shared" si="22"/>
        <v>144953.18562411761</v>
      </c>
      <c r="L173" s="7">
        <f>+References!$B$1-Table1[[#This Row],[INTEREST ]]</f>
        <v>707.51471442130173</v>
      </c>
      <c r="M173" s="5">
        <f>+Inputs!$B$11</f>
        <v>100</v>
      </c>
      <c r="N173" s="7">
        <f>+Table1[[#This Row],[BEGINNING BALANCE ]]*Inputs!$B$4/12</f>
        <v>468.07799524454646</v>
      </c>
      <c r="O173" s="7">
        <f>+SUM(Table1[[#This Row],[PRINCIPAL ]:[INTEREST ]])</f>
        <v>1275.5927096658481</v>
      </c>
      <c r="P173" s="7">
        <f>+Table1[[#This Row],[BEGINNING BALANCE ]]-Table1[[#This Row],[PRINCIPAL ]]-Table1[[#This Row],[EXTRA PAYMENT]]</f>
        <v>144145.67090969632</v>
      </c>
      <c r="Q173" s="5">
        <f>+Table1[[#This Row],[PRINCIPAL ]]+Table1[[#This Row],[EXTRA PAYMENT]]+Q172</f>
        <v>105854.32909030374</v>
      </c>
      <c r="R173" s="7">
        <f>+Table1[[#This Row],[INTEREST ]]+R172</f>
        <v>110996.43155289041</v>
      </c>
    </row>
    <row r="174" spans="1:18" x14ac:dyDescent="0.25">
      <c r="A174">
        <f t="shared" si="23"/>
        <v>171</v>
      </c>
      <c r="B174" s="1">
        <f t="shared" si="24"/>
        <v>45809</v>
      </c>
      <c r="C174" s="6">
        <f t="shared" si="25"/>
        <v>166749.57723720957</v>
      </c>
      <c r="D174" s="7">
        <f>PPMT(Inputs!$B$4/12,A174,Inputs!$B$5*12,-'Amortization Table'!$C$4)</f>
        <v>637.13053317069205</v>
      </c>
      <c r="E174" s="7">
        <f>IPMT(Inputs!$B$4/12,'Amortization Table'!A174,Inputs!$B$5*12,-'Amortization Table'!$C$4)</f>
        <v>538.46217649515609</v>
      </c>
      <c r="F174" s="7">
        <f t="shared" si="20"/>
        <v>1175.5927096658481</v>
      </c>
      <c r="G174" s="6">
        <f t="shared" si="21"/>
        <v>166112.44670403888</v>
      </c>
      <c r="H174" s="5">
        <f>+H173+Table1[[#This Row],[PRINCIPAL]]</f>
        <v>83887.553295960941</v>
      </c>
      <c r="I174" s="7">
        <f>Table1[[#This Row],[INTEREST]]+I173</f>
        <v>117138.80005689898</v>
      </c>
      <c r="J174" s="11"/>
      <c r="K174" s="7">
        <f t="shared" si="22"/>
        <v>144145.67090969632</v>
      </c>
      <c r="L174" s="7">
        <f>+References!$B$1-Table1[[#This Row],[INTEREST ]]</f>
        <v>710.12231401995382</v>
      </c>
      <c r="M174" s="5">
        <f>+Inputs!$B$11</f>
        <v>100</v>
      </c>
      <c r="N174" s="7">
        <f>+Table1[[#This Row],[BEGINNING BALANCE ]]*Inputs!$B$4/12</f>
        <v>465.47039564589437</v>
      </c>
      <c r="O174" s="7">
        <f>+SUM(Table1[[#This Row],[PRINCIPAL ]:[INTEREST ]])</f>
        <v>1275.5927096658481</v>
      </c>
      <c r="P174" s="7">
        <f>+Table1[[#This Row],[BEGINNING BALANCE ]]-Table1[[#This Row],[PRINCIPAL ]]-Table1[[#This Row],[EXTRA PAYMENT]]</f>
        <v>143335.54859567637</v>
      </c>
      <c r="Q174" s="5">
        <f>+Table1[[#This Row],[PRINCIPAL ]]+Table1[[#This Row],[EXTRA PAYMENT]]+Q173</f>
        <v>106664.4514043237</v>
      </c>
      <c r="R174" s="7">
        <f>+Table1[[#This Row],[INTEREST ]]+R173</f>
        <v>111461.90194853631</v>
      </c>
    </row>
    <row r="175" spans="1:18" x14ac:dyDescent="0.25">
      <c r="A175">
        <f t="shared" si="23"/>
        <v>172</v>
      </c>
      <c r="B175" s="1">
        <f t="shared" si="24"/>
        <v>45839</v>
      </c>
      <c r="C175" s="6">
        <f t="shared" si="25"/>
        <v>166112.44670403888</v>
      </c>
      <c r="D175" s="7">
        <f>PPMT(Inputs!$B$4/12,A175,Inputs!$B$5*12,-'Amortization Table'!$C$4)</f>
        <v>639.18793385072252</v>
      </c>
      <c r="E175" s="7">
        <f>IPMT(Inputs!$B$4/12,'Amortization Table'!A175,Inputs!$B$5*12,-'Amortization Table'!$C$4)</f>
        <v>536.40477581512584</v>
      </c>
      <c r="F175" s="7">
        <f t="shared" si="20"/>
        <v>1175.5927096658484</v>
      </c>
      <c r="G175" s="6">
        <f t="shared" si="21"/>
        <v>165473.25877018817</v>
      </c>
      <c r="H175" s="5">
        <f>+H174+Table1[[#This Row],[PRINCIPAL]]</f>
        <v>84526.741229811669</v>
      </c>
      <c r="I175" s="7">
        <f>Table1[[#This Row],[INTEREST]]+I174</f>
        <v>117675.20483271411</v>
      </c>
      <c r="J175" s="11"/>
      <c r="K175" s="7">
        <f t="shared" si="22"/>
        <v>143335.54859567637</v>
      </c>
      <c r="L175" s="7">
        <f>+References!$B$1-Table1[[#This Row],[INTEREST ]]</f>
        <v>712.73833399230989</v>
      </c>
      <c r="M175" s="5">
        <f>+Inputs!$B$11</f>
        <v>100</v>
      </c>
      <c r="N175" s="7">
        <f>+Table1[[#This Row],[BEGINNING BALANCE ]]*Inputs!$B$4/12</f>
        <v>462.8543756735383</v>
      </c>
      <c r="O175" s="7">
        <f>+SUM(Table1[[#This Row],[PRINCIPAL ]:[INTEREST ]])</f>
        <v>1275.5927096658481</v>
      </c>
      <c r="P175" s="7">
        <f>+Table1[[#This Row],[BEGINNING BALANCE ]]-Table1[[#This Row],[PRINCIPAL ]]-Table1[[#This Row],[EXTRA PAYMENT]]</f>
        <v>142522.81026168406</v>
      </c>
      <c r="Q175" s="5">
        <f>+Table1[[#This Row],[PRINCIPAL ]]+Table1[[#This Row],[EXTRA PAYMENT]]+Q174</f>
        <v>107477.18973831601</v>
      </c>
      <c r="R175" s="7">
        <f>+Table1[[#This Row],[INTEREST ]]+R174</f>
        <v>111924.75632420985</v>
      </c>
    </row>
    <row r="176" spans="1:18" x14ac:dyDescent="0.25">
      <c r="A176">
        <f t="shared" si="23"/>
        <v>173</v>
      </c>
      <c r="B176" s="1">
        <f t="shared" si="24"/>
        <v>45870</v>
      </c>
      <c r="C176" s="6">
        <f t="shared" si="25"/>
        <v>165473.25877018817</v>
      </c>
      <c r="D176" s="7">
        <f>PPMT(Inputs!$B$4/12,A176,Inputs!$B$5*12,-'Amortization Table'!$C$4)</f>
        <v>641.25197822044868</v>
      </c>
      <c r="E176" s="7">
        <f>IPMT(Inputs!$B$4/12,'Amortization Table'!A176,Inputs!$B$5*12,-'Amortization Table'!$C$4)</f>
        <v>534.34073144539946</v>
      </c>
      <c r="F176" s="7">
        <f t="shared" si="20"/>
        <v>1175.5927096658481</v>
      </c>
      <c r="G176" s="6">
        <f t="shared" si="21"/>
        <v>164832.00679196772</v>
      </c>
      <c r="H176" s="5">
        <f>+H175+Table1[[#This Row],[PRINCIPAL]]</f>
        <v>85167.993208032116</v>
      </c>
      <c r="I176" s="7">
        <f>Table1[[#This Row],[INTEREST]]+I175</f>
        <v>118209.5455641595</v>
      </c>
      <c r="J176" s="11"/>
      <c r="K176" s="7">
        <f t="shared" si="22"/>
        <v>142522.81026168406</v>
      </c>
      <c r="L176" s="7">
        <f>+References!$B$1-Table1[[#This Row],[INTEREST ]]</f>
        <v>715.36280152915992</v>
      </c>
      <c r="M176" s="5">
        <f>+Inputs!$B$11</f>
        <v>100</v>
      </c>
      <c r="N176" s="7">
        <f>+Table1[[#This Row],[BEGINNING BALANCE ]]*Inputs!$B$4/12</f>
        <v>460.22990813668815</v>
      </c>
      <c r="O176" s="7">
        <f>+SUM(Table1[[#This Row],[PRINCIPAL ]:[INTEREST ]])</f>
        <v>1275.5927096658481</v>
      </c>
      <c r="P176" s="7">
        <f>+Table1[[#This Row],[BEGINNING BALANCE ]]-Table1[[#This Row],[PRINCIPAL ]]-Table1[[#This Row],[EXTRA PAYMENT]]</f>
        <v>141707.44746015492</v>
      </c>
      <c r="Q176" s="5">
        <f>+Table1[[#This Row],[PRINCIPAL ]]+Table1[[#This Row],[EXTRA PAYMENT]]+Q175</f>
        <v>108292.55253984517</v>
      </c>
      <c r="R176" s="7">
        <f>+Table1[[#This Row],[INTEREST ]]+R175</f>
        <v>112384.98623234655</v>
      </c>
    </row>
    <row r="177" spans="1:18" x14ac:dyDescent="0.25">
      <c r="A177">
        <f t="shared" si="23"/>
        <v>174</v>
      </c>
      <c r="B177" s="1">
        <f t="shared" si="24"/>
        <v>45901</v>
      </c>
      <c r="C177" s="6">
        <f t="shared" si="25"/>
        <v>164832.00679196772</v>
      </c>
      <c r="D177" s="7">
        <f>PPMT(Inputs!$B$4/12,A177,Inputs!$B$5*12,-'Amortization Table'!$C$4)</f>
        <v>643.3226877334522</v>
      </c>
      <c r="E177" s="7">
        <f>IPMT(Inputs!$B$4/12,'Amortization Table'!A177,Inputs!$B$5*12,-'Amortization Table'!$C$4)</f>
        <v>532.27002193239593</v>
      </c>
      <c r="F177" s="7">
        <f t="shared" si="20"/>
        <v>1175.5927096658481</v>
      </c>
      <c r="G177" s="6">
        <f t="shared" si="21"/>
        <v>164188.68410423427</v>
      </c>
      <c r="H177" s="5">
        <f>+H176+Table1[[#This Row],[PRINCIPAL]]</f>
        <v>85811.315895765569</v>
      </c>
      <c r="I177" s="7">
        <f>Table1[[#This Row],[INTEREST]]+I176</f>
        <v>118741.81558609189</v>
      </c>
      <c r="J177" s="11"/>
      <c r="K177" s="7">
        <f t="shared" si="22"/>
        <v>141707.44746015492</v>
      </c>
      <c r="L177" s="7">
        <f>+References!$B$1-Table1[[#This Row],[INTEREST ]]</f>
        <v>717.99574390909788</v>
      </c>
      <c r="M177" s="5">
        <f>+Inputs!$B$11</f>
        <v>100</v>
      </c>
      <c r="N177" s="7">
        <f>+Table1[[#This Row],[BEGINNING BALANCE ]]*Inputs!$B$4/12</f>
        <v>457.59696575675025</v>
      </c>
      <c r="O177" s="7">
        <f>+SUM(Table1[[#This Row],[PRINCIPAL ]:[INTEREST ]])</f>
        <v>1275.5927096658481</v>
      </c>
      <c r="P177" s="7">
        <f>+Table1[[#This Row],[BEGINNING BALANCE ]]-Table1[[#This Row],[PRINCIPAL ]]-Table1[[#This Row],[EXTRA PAYMENT]]</f>
        <v>140889.45171624582</v>
      </c>
      <c r="Q177" s="5">
        <f>+Table1[[#This Row],[PRINCIPAL ]]+Table1[[#This Row],[EXTRA PAYMENT]]+Q176</f>
        <v>109110.54828375427</v>
      </c>
      <c r="R177" s="7">
        <f>+Table1[[#This Row],[INTEREST ]]+R176</f>
        <v>112842.5831981033</v>
      </c>
    </row>
    <row r="178" spans="1:18" x14ac:dyDescent="0.25">
      <c r="A178">
        <f t="shared" si="23"/>
        <v>175</v>
      </c>
      <c r="B178" s="1">
        <f t="shared" si="24"/>
        <v>45931</v>
      </c>
      <c r="C178" s="6">
        <f t="shared" si="25"/>
        <v>164188.68410423427</v>
      </c>
      <c r="D178" s="7">
        <f>PPMT(Inputs!$B$4/12,A178,Inputs!$B$5*12,-'Amortization Table'!$C$4)</f>
        <v>645.40008391259141</v>
      </c>
      <c r="E178" s="7">
        <f>IPMT(Inputs!$B$4/12,'Amortization Table'!A178,Inputs!$B$5*12,-'Amortization Table'!$C$4)</f>
        <v>530.19262575325672</v>
      </c>
      <c r="F178" s="7">
        <f t="shared" si="20"/>
        <v>1175.5927096658481</v>
      </c>
      <c r="G178" s="6">
        <f t="shared" si="21"/>
        <v>163543.28402032168</v>
      </c>
      <c r="H178" s="5">
        <f>+H177+Table1[[#This Row],[PRINCIPAL]]</f>
        <v>86456.715979678163</v>
      </c>
      <c r="I178" s="7">
        <f>Table1[[#This Row],[INTEREST]]+I177</f>
        <v>119272.00821184515</v>
      </c>
      <c r="J178" s="11"/>
      <c r="K178" s="7">
        <f t="shared" si="22"/>
        <v>140889.45171624582</v>
      </c>
      <c r="L178" s="7">
        <f>+References!$B$1-Table1[[#This Row],[INTEREST ]]</f>
        <v>720.63718849880433</v>
      </c>
      <c r="M178" s="5">
        <f>+Inputs!$B$11</f>
        <v>100</v>
      </c>
      <c r="N178" s="7">
        <f>+Table1[[#This Row],[BEGINNING BALANCE ]]*Inputs!$B$4/12</f>
        <v>454.9555211670438</v>
      </c>
      <c r="O178" s="7">
        <f>+SUM(Table1[[#This Row],[PRINCIPAL ]:[INTEREST ]])</f>
        <v>1275.5927096658481</v>
      </c>
      <c r="P178" s="7">
        <f>+Table1[[#This Row],[BEGINNING BALANCE ]]-Table1[[#This Row],[PRINCIPAL ]]-Table1[[#This Row],[EXTRA PAYMENT]]</f>
        <v>140068.81452774702</v>
      </c>
      <c r="Q178" s="5">
        <f>+Table1[[#This Row],[PRINCIPAL ]]+Table1[[#This Row],[EXTRA PAYMENT]]+Q177</f>
        <v>109931.18547225307</v>
      </c>
      <c r="R178" s="7">
        <f>+Table1[[#This Row],[INTEREST ]]+R177</f>
        <v>113297.53871927033</v>
      </c>
    </row>
    <row r="179" spans="1:18" x14ac:dyDescent="0.25">
      <c r="A179">
        <f t="shared" si="23"/>
        <v>176</v>
      </c>
      <c r="B179" s="1">
        <f t="shared" si="24"/>
        <v>45962</v>
      </c>
      <c r="C179" s="6">
        <f t="shared" si="25"/>
        <v>163543.28402032168</v>
      </c>
      <c r="D179" s="7">
        <f>PPMT(Inputs!$B$4/12,A179,Inputs!$B$5*12,-'Amortization Table'!$C$4)</f>
        <v>647.48418835022585</v>
      </c>
      <c r="E179" s="7">
        <f>IPMT(Inputs!$B$4/12,'Amortization Table'!A179,Inputs!$B$5*12,-'Amortization Table'!$C$4)</f>
        <v>528.1085213156224</v>
      </c>
      <c r="F179" s="7">
        <f t="shared" si="20"/>
        <v>1175.5927096658484</v>
      </c>
      <c r="G179" s="6">
        <f t="shared" si="21"/>
        <v>162895.79983197144</v>
      </c>
      <c r="H179" s="5">
        <f>+H178+Table1[[#This Row],[PRINCIPAL]]</f>
        <v>87104.200168028387</v>
      </c>
      <c r="I179" s="7">
        <f>Table1[[#This Row],[INTEREST]]+I178</f>
        <v>119800.11673316077</v>
      </c>
      <c r="J179" s="11"/>
      <c r="K179" s="7">
        <f t="shared" si="22"/>
        <v>140068.81452774702</v>
      </c>
      <c r="L179" s="7">
        <f>+References!$B$1-Table1[[#This Row],[INTEREST ]]</f>
        <v>723.28716275333181</v>
      </c>
      <c r="M179" s="5">
        <f>+Inputs!$B$11</f>
        <v>100</v>
      </c>
      <c r="N179" s="7">
        <f>+Table1[[#This Row],[BEGINNING BALANCE ]]*Inputs!$B$4/12</f>
        <v>452.30554691251638</v>
      </c>
      <c r="O179" s="7">
        <f>+SUM(Table1[[#This Row],[PRINCIPAL ]:[INTEREST ]])</f>
        <v>1275.5927096658481</v>
      </c>
      <c r="P179" s="7">
        <f>+Table1[[#This Row],[BEGINNING BALANCE ]]-Table1[[#This Row],[PRINCIPAL ]]-Table1[[#This Row],[EXTRA PAYMENT]]</f>
        <v>139245.52736499367</v>
      </c>
      <c r="Q179" s="5">
        <f>+Table1[[#This Row],[PRINCIPAL ]]+Table1[[#This Row],[EXTRA PAYMENT]]+Q178</f>
        <v>110754.4726350064</v>
      </c>
      <c r="R179" s="7">
        <f>+Table1[[#This Row],[INTEREST ]]+R178</f>
        <v>113749.84426618284</v>
      </c>
    </row>
    <row r="180" spans="1:18" x14ac:dyDescent="0.25">
      <c r="A180">
        <f t="shared" si="23"/>
        <v>177</v>
      </c>
      <c r="B180" s="1">
        <f t="shared" si="24"/>
        <v>45992</v>
      </c>
      <c r="C180" s="6">
        <f t="shared" si="25"/>
        <v>162895.79983197144</v>
      </c>
      <c r="D180" s="7">
        <f>PPMT(Inputs!$B$4/12,A180,Inputs!$B$5*12,-'Amortization Table'!$C$4)</f>
        <v>649.5750227084402</v>
      </c>
      <c r="E180" s="7">
        <f>IPMT(Inputs!$B$4/12,'Amortization Table'!A180,Inputs!$B$5*12,-'Amortization Table'!$C$4)</f>
        <v>526.01768695740805</v>
      </c>
      <c r="F180" s="7">
        <f t="shared" si="20"/>
        <v>1175.5927096658484</v>
      </c>
      <c r="G180" s="6">
        <f t="shared" si="21"/>
        <v>162246.22480926299</v>
      </c>
      <c r="H180" s="5">
        <f>+H179+Table1[[#This Row],[PRINCIPAL]]</f>
        <v>87753.775190736822</v>
      </c>
      <c r="I180" s="7">
        <f>Table1[[#This Row],[INTEREST]]+I179</f>
        <v>120326.13442011818</v>
      </c>
      <c r="J180" s="11"/>
      <c r="K180" s="7">
        <f t="shared" si="22"/>
        <v>139245.52736499367</v>
      </c>
      <c r="L180" s="7">
        <f>+References!$B$1-Table1[[#This Row],[INTEREST ]]</f>
        <v>725.94569421638948</v>
      </c>
      <c r="M180" s="5">
        <f>+Inputs!$B$11</f>
        <v>100</v>
      </c>
      <c r="N180" s="7">
        <f>+Table1[[#This Row],[BEGINNING BALANCE ]]*Inputs!$B$4/12</f>
        <v>449.64701544945871</v>
      </c>
      <c r="O180" s="7">
        <f>+SUM(Table1[[#This Row],[PRINCIPAL ]:[INTEREST ]])</f>
        <v>1275.5927096658481</v>
      </c>
      <c r="P180" s="7">
        <f>+Table1[[#This Row],[BEGINNING BALANCE ]]-Table1[[#This Row],[PRINCIPAL ]]-Table1[[#This Row],[EXTRA PAYMENT]]</f>
        <v>138419.58167077729</v>
      </c>
      <c r="Q180" s="5">
        <f>+Table1[[#This Row],[PRINCIPAL ]]+Table1[[#This Row],[EXTRA PAYMENT]]+Q179</f>
        <v>111580.4183292228</v>
      </c>
      <c r="R180" s="7">
        <f>+Table1[[#This Row],[INTEREST ]]+R179</f>
        <v>114199.4912816323</v>
      </c>
    </row>
    <row r="181" spans="1:18" x14ac:dyDescent="0.25">
      <c r="A181">
        <f t="shared" si="23"/>
        <v>178</v>
      </c>
      <c r="B181" s="1">
        <f t="shared" si="24"/>
        <v>46023</v>
      </c>
      <c r="C181" s="6">
        <f t="shared" si="25"/>
        <v>162246.22480926299</v>
      </c>
      <c r="D181" s="7">
        <f>PPMT(Inputs!$B$4/12,A181,Inputs!$B$5*12,-'Amortization Table'!$C$4)</f>
        <v>651.67260871926942</v>
      </c>
      <c r="E181" s="7">
        <f>IPMT(Inputs!$B$4/12,'Amortization Table'!A181,Inputs!$B$5*12,-'Amortization Table'!$C$4)</f>
        <v>523.9201009465786</v>
      </c>
      <c r="F181" s="7">
        <f t="shared" si="20"/>
        <v>1175.5927096658479</v>
      </c>
      <c r="G181" s="6">
        <f t="shared" si="21"/>
        <v>161594.55220054372</v>
      </c>
      <c r="H181" s="5">
        <f>+H180+Table1[[#This Row],[PRINCIPAL]]</f>
        <v>88405.447799456088</v>
      </c>
      <c r="I181" s="7">
        <f>Table1[[#This Row],[INTEREST]]+I180</f>
        <v>120850.05452106475</v>
      </c>
      <c r="J181" s="11"/>
      <c r="K181" s="7">
        <f t="shared" si="22"/>
        <v>138419.58167077729</v>
      </c>
      <c r="L181" s="7">
        <f>+References!$B$1-Table1[[#This Row],[INTEREST ]]</f>
        <v>728.61281052062986</v>
      </c>
      <c r="M181" s="5">
        <f>+Inputs!$B$11</f>
        <v>100</v>
      </c>
      <c r="N181" s="7">
        <f>+Table1[[#This Row],[BEGINNING BALANCE ]]*Inputs!$B$4/12</f>
        <v>446.97989914521833</v>
      </c>
      <c r="O181" s="7">
        <f>+SUM(Table1[[#This Row],[PRINCIPAL ]:[INTEREST ]])</f>
        <v>1275.5927096658481</v>
      </c>
      <c r="P181" s="7">
        <f>+Table1[[#This Row],[BEGINNING BALANCE ]]-Table1[[#This Row],[PRINCIPAL ]]-Table1[[#This Row],[EXTRA PAYMENT]]</f>
        <v>137590.96886025666</v>
      </c>
      <c r="Q181" s="5">
        <f>+Table1[[#This Row],[PRINCIPAL ]]+Table1[[#This Row],[EXTRA PAYMENT]]+Q180</f>
        <v>112409.03113974343</v>
      </c>
      <c r="R181" s="7">
        <f>+Table1[[#This Row],[INTEREST ]]+R180</f>
        <v>114646.47118077752</v>
      </c>
    </row>
    <row r="182" spans="1:18" x14ac:dyDescent="0.25">
      <c r="A182">
        <f t="shared" si="23"/>
        <v>179</v>
      </c>
      <c r="B182" s="1">
        <f t="shared" si="24"/>
        <v>46054</v>
      </c>
      <c r="C182" s="6">
        <f t="shared" si="25"/>
        <v>161594.55220054372</v>
      </c>
      <c r="D182" s="7">
        <f>PPMT(Inputs!$B$4/12,A182,Inputs!$B$5*12,-'Amortization Table'!$C$4)</f>
        <v>653.77696818492552</v>
      </c>
      <c r="E182" s="7">
        <f>IPMT(Inputs!$B$4/12,'Amortization Table'!A182,Inputs!$B$5*12,-'Amortization Table'!$C$4)</f>
        <v>521.81574148092272</v>
      </c>
      <c r="F182" s="7">
        <f t="shared" si="20"/>
        <v>1175.5927096658484</v>
      </c>
      <c r="G182" s="6">
        <f t="shared" si="21"/>
        <v>160940.77523235881</v>
      </c>
      <c r="H182" s="5">
        <f>+H181+Table1[[#This Row],[PRINCIPAL]]</f>
        <v>89059.224767641019</v>
      </c>
      <c r="I182" s="7">
        <f>Table1[[#This Row],[INTEREST]]+I181</f>
        <v>121371.87026254568</v>
      </c>
      <c r="J182" s="11"/>
      <c r="K182" s="7">
        <f t="shared" si="22"/>
        <v>137590.96886025666</v>
      </c>
      <c r="L182" s="7">
        <f>+References!$B$1-Table1[[#This Row],[INTEREST ]]</f>
        <v>731.288539387936</v>
      </c>
      <c r="M182" s="5">
        <f>+Inputs!$B$11</f>
        <v>100</v>
      </c>
      <c r="N182" s="7">
        <f>+Table1[[#This Row],[BEGINNING BALANCE ]]*Inputs!$B$4/12</f>
        <v>444.30417027791214</v>
      </c>
      <c r="O182" s="7">
        <f>+SUM(Table1[[#This Row],[PRINCIPAL ]:[INTEREST ]])</f>
        <v>1275.5927096658481</v>
      </c>
      <c r="P182" s="7">
        <f>+Table1[[#This Row],[BEGINNING BALANCE ]]-Table1[[#This Row],[PRINCIPAL ]]-Table1[[#This Row],[EXTRA PAYMENT]]</f>
        <v>136759.68032086873</v>
      </c>
      <c r="Q182" s="5">
        <f>+Table1[[#This Row],[PRINCIPAL ]]+Table1[[#This Row],[EXTRA PAYMENT]]+Q181</f>
        <v>113240.31967913137</v>
      </c>
      <c r="R182" s="7">
        <f>+Table1[[#This Row],[INTEREST ]]+R181</f>
        <v>115090.77535105543</v>
      </c>
    </row>
    <row r="183" spans="1:18" x14ac:dyDescent="0.25">
      <c r="A183">
        <f t="shared" si="23"/>
        <v>180</v>
      </c>
      <c r="B183" s="1">
        <f t="shared" si="24"/>
        <v>46082</v>
      </c>
      <c r="C183" s="6">
        <f t="shared" si="25"/>
        <v>160940.77523235881</v>
      </c>
      <c r="D183" s="7">
        <f>PPMT(Inputs!$B$4/12,A183,Inputs!$B$5*12,-'Amortization Table'!$C$4)</f>
        <v>655.88812297802269</v>
      </c>
      <c r="E183" s="7">
        <f>IPMT(Inputs!$B$4/12,'Amortization Table'!A183,Inputs!$B$5*12,-'Amortization Table'!$C$4)</f>
        <v>519.70458668782555</v>
      </c>
      <c r="F183" s="7">
        <f t="shared" si="20"/>
        <v>1175.5927096658484</v>
      </c>
      <c r="G183" s="6">
        <f t="shared" si="21"/>
        <v>160284.8871093808</v>
      </c>
      <c r="H183" s="5">
        <f>+H182+Table1[[#This Row],[PRINCIPAL]]</f>
        <v>89715.112890619042</v>
      </c>
      <c r="I183" s="7">
        <f>Table1[[#This Row],[INTEREST]]+I182</f>
        <v>121891.57484923351</v>
      </c>
      <c r="J183" s="11"/>
      <c r="K183" s="7">
        <f t="shared" si="22"/>
        <v>136759.68032086873</v>
      </c>
      <c r="L183" s="7">
        <f>+References!$B$1-Table1[[#This Row],[INTEREST ]]</f>
        <v>733.97290862970954</v>
      </c>
      <c r="M183" s="5">
        <f>+Inputs!$B$11</f>
        <v>100</v>
      </c>
      <c r="N183" s="7">
        <f>+Table1[[#This Row],[BEGINNING BALANCE ]]*Inputs!$B$4/12</f>
        <v>441.6198010361386</v>
      </c>
      <c r="O183" s="7">
        <f>+SUM(Table1[[#This Row],[PRINCIPAL ]:[INTEREST ]])</f>
        <v>1275.5927096658481</v>
      </c>
      <c r="P183" s="7">
        <f>+Table1[[#This Row],[BEGINNING BALANCE ]]-Table1[[#This Row],[PRINCIPAL ]]-Table1[[#This Row],[EXTRA PAYMENT]]</f>
        <v>135925.70741223902</v>
      </c>
      <c r="Q183" s="5">
        <f>+Table1[[#This Row],[PRINCIPAL ]]+Table1[[#This Row],[EXTRA PAYMENT]]+Q182</f>
        <v>114074.29258776108</v>
      </c>
      <c r="R183" s="7">
        <f>+Table1[[#This Row],[INTEREST ]]+R182</f>
        <v>115532.39515209157</v>
      </c>
    </row>
    <row r="184" spans="1:18" x14ac:dyDescent="0.25">
      <c r="A184">
        <f t="shared" si="23"/>
        <v>181</v>
      </c>
      <c r="B184" s="1">
        <f t="shared" si="24"/>
        <v>46113</v>
      </c>
      <c r="C184" s="6">
        <f t="shared" si="25"/>
        <v>160284.8871093808</v>
      </c>
      <c r="D184" s="7">
        <f>PPMT(Inputs!$B$4/12,A184,Inputs!$B$5*12,-'Amortization Table'!$C$4)</f>
        <v>658.00609504180579</v>
      </c>
      <c r="E184" s="7">
        <f>IPMT(Inputs!$B$4/12,'Amortization Table'!A184,Inputs!$B$5*12,-'Amortization Table'!$C$4)</f>
        <v>517.58661462404223</v>
      </c>
      <c r="F184" s="7">
        <f t="shared" si="20"/>
        <v>1175.5927096658479</v>
      </c>
      <c r="G184" s="6">
        <f t="shared" si="21"/>
        <v>159626.88101433899</v>
      </c>
      <c r="H184" s="5">
        <f>+H183+Table1[[#This Row],[PRINCIPAL]]</f>
        <v>90373.118985660854</v>
      </c>
      <c r="I184" s="7">
        <f>Table1[[#This Row],[INTEREST]]+I183</f>
        <v>122409.16146385756</v>
      </c>
      <c r="J184" s="11"/>
      <c r="K184" s="7">
        <f t="shared" si="22"/>
        <v>135925.70741223902</v>
      </c>
      <c r="L184" s="7">
        <f>+References!$B$1-Table1[[#This Row],[INTEREST ]]</f>
        <v>736.66594614715973</v>
      </c>
      <c r="M184" s="5">
        <f>+Inputs!$B$11</f>
        <v>100</v>
      </c>
      <c r="N184" s="7">
        <f>+Table1[[#This Row],[BEGINNING BALANCE ]]*Inputs!$B$4/12</f>
        <v>438.92676351868846</v>
      </c>
      <c r="O184" s="7">
        <f>+SUM(Table1[[#This Row],[PRINCIPAL ]:[INTEREST ]])</f>
        <v>1275.5927096658481</v>
      </c>
      <c r="P184" s="7">
        <f>+Table1[[#This Row],[BEGINNING BALANCE ]]-Table1[[#This Row],[PRINCIPAL ]]-Table1[[#This Row],[EXTRA PAYMENT]]</f>
        <v>135089.04146609185</v>
      </c>
      <c r="Q184" s="5">
        <f>+Table1[[#This Row],[PRINCIPAL ]]+Table1[[#This Row],[EXTRA PAYMENT]]+Q183</f>
        <v>114910.95853390824</v>
      </c>
      <c r="R184" s="7">
        <f>+Table1[[#This Row],[INTEREST ]]+R183</f>
        <v>115971.32191561026</v>
      </c>
    </row>
    <row r="185" spans="1:18" x14ac:dyDescent="0.25">
      <c r="A185">
        <f t="shared" si="23"/>
        <v>182</v>
      </c>
      <c r="B185" s="1">
        <f t="shared" si="24"/>
        <v>46143</v>
      </c>
      <c r="C185" s="6">
        <f t="shared" si="25"/>
        <v>159626.88101433899</v>
      </c>
      <c r="D185" s="7">
        <f>PPMT(Inputs!$B$4/12,A185,Inputs!$B$5*12,-'Amortization Table'!$C$4)</f>
        <v>660.1309063903783</v>
      </c>
      <c r="E185" s="7">
        <f>IPMT(Inputs!$B$4/12,'Amortization Table'!A185,Inputs!$B$5*12,-'Amortization Table'!$C$4)</f>
        <v>515.46180327546983</v>
      </c>
      <c r="F185" s="7">
        <f t="shared" si="20"/>
        <v>1175.5927096658481</v>
      </c>
      <c r="G185" s="6">
        <f t="shared" si="21"/>
        <v>158966.75010794861</v>
      </c>
      <c r="H185" s="5">
        <f>+H184+Table1[[#This Row],[PRINCIPAL]]</f>
        <v>91033.24989205123</v>
      </c>
      <c r="I185" s="7">
        <f>Table1[[#This Row],[INTEREST]]+I184</f>
        <v>122924.62326713302</v>
      </c>
      <c r="J185" s="11"/>
      <c r="K185" s="7">
        <f t="shared" si="22"/>
        <v>135089.04146609185</v>
      </c>
      <c r="L185" s="7">
        <f>+References!$B$1-Table1[[#This Row],[INTEREST ]]</f>
        <v>739.3676799315931</v>
      </c>
      <c r="M185" s="5">
        <f>+Inputs!$B$11</f>
        <v>100</v>
      </c>
      <c r="N185" s="7">
        <f>+Table1[[#This Row],[BEGINNING BALANCE ]]*Inputs!$B$4/12</f>
        <v>436.22502973425497</v>
      </c>
      <c r="O185" s="7">
        <f>+SUM(Table1[[#This Row],[PRINCIPAL ]:[INTEREST ]])</f>
        <v>1275.5927096658481</v>
      </c>
      <c r="P185" s="7">
        <f>+Table1[[#This Row],[BEGINNING BALANCE ]]-Table1[[#This Row],[PRINCIPAL ]]-Table1[[#This Row],[EXTRA PAYMENT]]</f>
        <v>134249.67378616025</v>
      </c>
      <c r="Q185" s="5">
        <f>+Table1[[#This Row],[PRINCIPAL ]]+Table1[[#This Row],[EXTRA PAYMENT]]+Q184</f>
        <v>115750.32621383983</v>
      </c>
      <c r="R185" s="7">
        <f>+Table1[[#This Row],[INTEREST ]]+R184</f>
        <v>116407.54694534451</v>
      </c>
    </row>
    <row r="186" spans="1:18" x14ac:dyDescent="0.25">
      <c r="A186">
        <f t="shared" si="23"/>
        <v>183</v>
      </c>
      <c r="B186" s="1">
        <f t="shared" si="24"/>
        <v>46174</v>
      </c>
      <c r="C186" s="6">
        <f t="shared" si="25"/>
        <v>158966.75010794861</v>
      </c>
      <c r="D186" s="7">
        <f>PPMT(Inputs!$B$4/12,A186,Inputs!$B$5*12,-'Amortization Table'!$C$4)</f>
        <v>662.26257910893059</v>
      </c>
      <c r="E186" s="7">
        <f>IPMT(Inputs!$B$4/12,'Amortization Table'!A186,Inputs!$B$5*12,-'Amortization Table'!$C$4)</f>
        <v>513.33013055691765</v>
      </c>
      <c r="F186" s="7">
        <f t="shared" si="20"/>
        <v>1175.5927096658484</v>
      </c>
      <c r="G186" s="6">
        <f t="shared" si="21"/>
        <v>158304.48752883967</v>
      </c>
      <c r="H186" s="5">
        <f>+H185+Table1[[#This Row],[PRINCIPAL]]</f>
        <v>91695.512471160167</v>
      </c>
      <c r="I186" s="7">
        <f>Table1[[#This Row],[INTEREST]]+I185</f>
        <v>123437.95339768994</v>
      </c>
      <c r="J186" s="11"/>
      <c r="K186" s="7">
        <f t="shared" si="22"/>
        <v>134249.67378616025</v>
      </c>
      <c r="L186" s="7">
        <f>+References!$B$1-Table1[[#This Row],[INTEREST ]]</f>
        <v>742.07813806470563</v>
      </c>
      <c r="M186" s="5">
        <f>+Inputs!$B$11</f>
        <v>100</v>
      </c>
      <c r="N186" s="7">
        <f>+Table1[[#This Row],[BEGINNING BALANCE ]]*Inputs!$B$4/12</f>
        <v>433.51457160114245</v>
      </c>
      <c r="O186" s="7">
        <f>+SUM(Table1[[#This Row],[PRINCIPAL ]:[INTEREST ]])</f>
        <v>1275.5927096658481</v>
      </c>
      <c r="P186" s="7">
        <f>+Table1[[#This Row],[BEGINNING BALANCE ]]-Table1[[#This Row],[PRINCIPAL ]]-Table1[[#This Row],[EXTRA PAYMENT]]</f>
        <v>133407.59564809554</v>
      </c>
      <c r="Q186" s="5">
        <f>+Table1[[#This Row],[PRINCIPAL ]]+Table1[[#This Row],[EXTRA PAYMENT]]+Q185</f>
        <v>116592.40435190454</v>
      </c>
      <c r="R186" s="7">
        <f>+Table1[[#This Row],[INTEREST ]]+R185</f>
        <v>116841.06151694566</v>
      </c>
    </row>
    <row r="187" spans="1:18" x14ac:dyDescent="0.25">
      <c r="A187">
        <f t="shared" si="23"/>
        <v>184</v>
      </c>
      <c r="B187" s="1">
        <f t="shared" si="24"/>
        <v>46204</v>
      </c>
      <c r="C187" s="6">
        <f t="shared" si="25"/>
        <v>158304.48752883967</v>
      </c>
      <c r="D187" s="7">
        <f>PPMT(Inputs!$B$4/12,A187,Inputs!$B$5*12,-'Amortization Table'!$C$4)</f>
        <v>664.40113535396983</v>
      </c>
      <c r="E187" s="7">
        <f>IPMT(Inputs!$B$4/12,'Amortization Table'!A187,Inputs!$B$5*12,-'Amortization Table'!$C$4)</f>
        <v>511.1915743118783</v>
      </c>
      <c r="F187" s="7">
        <f t="shared" si="20"/>
        <v>1175.5927096658481</v>
      </c>
      <c r="G187" s="6">
        <f t="shared" si="21"/>
        <v>157640.08639348569</v>
      </c>
      <c r="H187" s="5">
        <f>+H186+Table1[[#This Row],[PRINCIPAL]]</f>
        <v>92359.913606514136</v>
      </c>
      <c r="I187" s="7">
        <f>Table1[[#This Row],[INTEREST]]+I186</f>
        <v>123949.14497200181</v>
      </c>
      <c r="J187" s="11"/>
      <c r="K187" s="7">
        <f t="shared" si="22"/>
        <v>133407.59564809554</v>
      </c>
      <c r="L187" s="7">
        <f>+References!$B$1-Table1[[#This Row],[INTEREST ]]</f>
        <v>744.79734871887308</v>
      </c>
      <c r="M187" s="5">
        <f>+Inputs!$B$11</f>
        <v>100</v>
      </c>
      <c r="N187" s="7">
        <f>+Table1[[#This Row],[BEGINNING BALANCE ]]*Inputs!$B$4/12</f>
        <v>430.79536094697511</v>
      </c>
      <c r="O187" s="7">
        <f>+SUM(Table1[[#This Row],[PRINCIPAL ]:[INTEREST ]])</f>
        <v>1275.5927096658481</v>
      </c>
      <c r="P187" s="7">
        <f>+Table1[[#This Row],[BEGINNING BALANCE ]]-Table1[[#This Row],[PRINCIPAL ]]-Table1[[#This Row],[EXTRA PAYMENT]]</f>
        <v>132562.79829937665</v>
      </c>
      <c r="Q187" s="5">
        <f>+Table1[[#This Row],[PRINCIPAL ]]+Table1[[#This Row],[EXTRA PAYMENT]]+Q186</f>
        <v>117437.20170062341</v>
      </c>
      <c r="R187" s="7">
        <f>+Table1[[#This Row],[INTEREST ]]+R186</f>
        <v>117271.85687789263</v>
      </c>
    </row>
    <row r="188" spans="1:18" x14ac:dyDescent="0.25">
      <c r="A188">
        <f t="shared" si="23"/>
        <v>185</v>
      </c>
      <c r="B188" s="1">
        <f t="shared" si="24"/>
        <v>46235</v>
      </c>
      <c r="C188" s="6">
        <f t="shared" si="25"/>
        <v>157640.08639348569</v>
      </c>
      <c r="D188" s="7">
        <f>PPMT(Inputs!$B$4/12,A188,Inputs!$B$5*12,-'Amortization Table'!$C$4)</f>
        <v>666.54659735355028</v>
      </c>
      <c r="E188" s="7">
        <f>IPMT(Inputs!$B$4/12,'Amortization Table'!A188,Inputs!$B$5*12,-'Amortization Table'!$C$4)</f>
        <v>509.04611231229779</v>
      </c>
      <c r="F188" s="7">
        <f t="shared" si="20"/>
        <v>1175.5927096658481</v>
      </c>
      <c r="G188" s="6">
        <f t="shared" si="21"/>
        <v>156973.53979613213</v>
      </c>
      <c r="H188" s="5">
        <f>+H187+Table1[[#This Row],[PRINCIPAL]]</f>
        <v>93026.460203867682</v>
      </c>
      <c r="I188" s="7">
        <f>Table1[[#This Row],[INTEREST]]+I187</f>
        <v>124458.19108431411</v>
      </c>
      <c r="J188" s="11"/>
      <c r="K188" s="7">
        <f t="shared" si="22"/>
        <v>132562.79829937665</v>
      </c>
      <c r="L188" s="7">
        <f>+References!$B$1-Table1[[#This Row],[INTEREST ]]</f>
        <v>747.52534015744436</v>
      </c>
      <c r="M188" s="5">
        <f>+Inputs!$B$11</f>
        <v>100</v>
      </c>
      <c r="N188" s="7">
        <f>+Table1[[#This Row],[BEGINNING BALANCE ]]*Inputs!$B$4/12</f>
        <v>428.06736950840377</v>
      </c>
      <c r="O188" s="7">
        <f>+SUM(Table1[[#This Row],[PRINCIPAL ]:[INTEREST ]])</f>
        <v>1275.5927096658481</v>
      </c>
      <c r="P188" s="7">
        <f>+Table1[[#This Row],[BEGINNING BALANCE ]]-Table1[[#This Row],[PRINCIPAL ]]-Table1[[#This Row],[EXTRA PAYMENT]]</f>
        <v>131715.2729592192</v>
      </c>
      <c r="Q188" s="5">
        <f>+Table1[[#This Row],[PRINCIPAL ]]+Table1[[#This Row],[EXTRA PAYMENT]]+Q187</f>
        <v>118284.72704078085</v>
      </c>
      <c r="R188" s="7">
        <f>+Table1[[#This Row],[INTEREST ]]+R187</f>
        <v>117699.92424740102</v>
      </c>
    </row>
    <row r="189" spans="1:18" x14ac:dyDescent="0.25">
      <c r="A189">
        <f t="shared" si="23"/>
        <v>186</v>
      </c>
      <c r="B189" s="1">
        <f t="shared" si="24"/>
        <v>46266</v>
      </c>
      <c r="C189" s="6">
        <f t="shared" si="25"/>
        <v>156973.53979613213</v>
      </c>
      <c r="D189" s="7">
        <f>PPMT(Inputs!$B$4/12,A189,Inputs!$B$5*12,-'Amortization Table'!$C$4)</f>
        <v>668.69898740750455</v>
      </c>
      <c r="E189" s="7">
        <f>IPMT(Inputs!$B$4/12,'Amortization Table'!A189,Inputs!$B$5*12,-'Amortization Table'!$C$4)</f>
        <v>506.89372225834359</v>
      </c>
      <c r="F189" s="7">
        <f t="shared" si="20"/>
        <v>1175.5927096658481</v>
      </c>
      <c r="G189" s="6">
        <f t="shared" si="21"/>
        <v>156304.84080872464</v>
      </c>
      <c r="H189" s="5">
        <f>+H188+Table1[[#This Row],[PRINCIPAL]]</f>
        <v>93695.15919127519</v>
      </c>
      <c r="I189" s="7">
        <f>Table1[[#This Row],[INTEREST]]+I188</f>
        <v>124965.08480657246</v>
      </c>
      <c r="J189" s="11"/>
      <c r="K189" s="7">
        <f t="shared" si="22"/>
        <v>131715.2729592192</v>
      </c>
      <c r="L189" s="7">
        <f>+References!$B$1-Table1[[#This Row],[INTEREST ]]</f>
        <v>750.26214073503616</v>
      </c>
      <c r="M189" s="5">
        <f>+Inputs!$B$11</f>
        <v>100</v>
      </c>
      <c r="N189" s="7">
        <f>+Table1[[#This Row],[BEGINNING BALANCE ]]*Inputs!$B$4/12</f>
        <v>425.33056893081198</v>
      </c>
      <c r="O189" s="7">
        <f>+SUM(Table1[[#This Row],[PRINCIPAL ]:[INTEREST ]])</f>
        <v>1275.5927096658481</v>
      </c>
      <c r="P189" s="7">
        <f>+Table1[[#This Row],[BEGINNING BALANCE ]]-Table1[[#This Row],[PRINCIPAL ]]-Table1[[#This Row],[EXTRA PAYMENT]]</f>
        <v>130865.01081848417</v>
      </c>
      <c r="Q189" s="5">
        <f>+Table1[[#This Row],[PRINCIPAL ]]+Table1[[#This Row],[EXTRA PAYMENT]]+Q188</f>
        <v>119134.98918151589</v>
      </c>
      <c r="R189" s="7">
        <f>+Table1[[#This Row],[INTEREST ]]+R188</f>
        <v>118125.25481633184</v>
      </c>
    </row>
    <row r="190" spans="1:18" x14ac:dyDescent="0.25">
      <c r="A190">
        <f t="shared" si="23"/>
        <v>187</v>
      </c>
      <c r="B190" s="1">
        <f t="shared" si="24"/>
        <v>46296</v>
      </c>
      <c r="C190" s="6">
        <f t="shared" si="25"/>
        <v>156304.84080872464</v>
      </c>
      <c r="D190" s="7">
        <f>PPMT(Inputs!$B$4/12,A190,Inputs!$B$5*12,-'Amortization Table'!$C$4)</f>
        <v>670.85832788767459</v>
      </c>
      <c r="E190" s="7">
        <f>IPMT(Inputs!$B$4/12,'Amortization Table'!A190,Inputs!$B$5*12,-'Amortization Table'!$C$4)</f>
        <v>504.7343817781736</v>
      </c>
      <c r="F190" s="7">
        <f t="shared" si="20"/>
        <v>1175.5927096658481</v>
      </c>
      <c r="G190" s="6">
        <f t="shared" si="21"/>
        <v>155633.98248083697</v>
      </c>
      <c r="H190" s="5">
        <f>+H189+Table1[[#This Row],[PRINCIPAL]]</f>
        <v>94366.017519162866</v>
      </c>
      <c r="I190" s="7">
        <f>Table1[[#This Row],[INTEREST]]+I189</f>
        <v>125469.81918835064</v>
      </c>
      <c r="J190" s="11"/>
      <c r="K190" s="7">
        <f t="shared" si="22"/>
        <v>130865.01081848417</v>
      </c>
      <c r="L190" s="7">
        <f>+References!$B$1-Table1[[#This Row],[INTEREST ]]</f>
        <v>753.00777889782626</v>
      </c>
      <c r="M190" s="5">
        <f>+Inputs!$B$11</f>
        <v>100</v>
      </c>
      <c r="N190" s="7">
        <f>+Table1[[#This Row],[BEGINNING BALANCE ]]*Inputs!$B$4/12</f>
        <v>422.58493076802182</v>
      </c>
      <c r="O190" s="7">
        <f>+SUM(Table1[[#This Row],[PRINCIPAL ]:[INTEREST ]])</f>
        <v>1275.5927096658481</v>
      </c>
      <c r="P190" s="7">
        <f>+Table1[[#This Row],[BEGINNING BALANCE ]]-Table1[[#This Row],[PRINCIPAL ]]-Table1[[#This Row],[EXTRA PAYMENT]]</f>
        <v>130012.00303958634</v>
      </c>
      <c r="Q190" s="5">
        <f>+Table1[[#This Row],[PRINCIPAL ]]+Table1[[#This Row],[EXTRA PAYMENT]]+Q189</f>
        <v>119987.99696041371</v>
      </c>
      <c r="R190" s="7">
        <f>+Table1[[#This Row],[INTEREST ]]+R189</f>
        <v>118547.83974709986</v>
      </c>
    </row>
    <row r="191" spans="1:18" x14ac:dyDescent="0.25">
      <c r="A191">
        <f t="shared" si="23"/>
        <v>188</v>
      </c>
      <c r="B191" s="1">
        <f t="shared" si="24"/>
        <v>46327</v>
      </c>
      <c r="C191" s="6">
        <f t="shared" si="25"/>
        <v>155633.98248083697</v>
      </c>
      <c r="D191" s="7">
        <f>PPMT(Inputs!$B$4/12,A191,Inputs!$B$5*12,-'Amortization Table'!$C$4)</f>
        <v>673.02464123814525</v>
      </c>
      <c r="E191" s="7">
        <f>IPMT(Inputs!$B$4/12,'Amortization Table'!A191,Inputs!$B$5*12,-'Amortization Table'!$C$4)</f>
        <v>502.56806842770294</v>
      </c>
      <c r="F191" s="7">
        <f t="shared" si="20"/>
        <v>1175.5927096658481</v>
      </c>
      <c r="G191" s="6">
        <f t="shared" si="21"/>
        <v>154960.95783959882</v>
      </c>
      <c r="H191" s="5">
        <f>+H190+Table1[[#This Row],[PRINCIPAL]]</f>
        <v>95039.042160401004</v>
      </c>
      <c r="I191" s="7">
        <f>Table1[[#This Row],[INTEREST]]+I190</f>
        <v>125972.38725677834</v>
      </c>
      <c r="J191" s="11"/>
      <c r="K191" s="7">
        <f t="shared" si="22"/>
        <v>130012.00303958634</v>
      </c>
      <c r="L191" s="7">
        <f>+References!$B$1-Table1[[#This Row],[INTEREST ]]</f>
        <v>755.76228318385051</v>
      </c>
      <c r="M191" s="5">
        <f>+Inputs!$B$11</f>
        <v>100</v>
      </c>
      <c r="N191" s="7">
        <f>+Table1[[#This Row],[BEGINNING BALANCE ]]*Inputs!$B$4/12</f>
        <v>419.83042648199756</v>
      </c>
      <c r="O191" s="7">
        <f>+SUM(Table1[[#This Row],[PRINCIPAL ]:[INTEREST ]])</f>
        <v>1275.5927096658481</v>
      </c>
      <c r="P191" s="7">
        <f>+Table1[[#This Row],[BEGINNING BALANCE ]]-Table1[[#This Row],[PRINCIPAL ]]-Table1[[#This Row],[EXTRA PAYMENT]]</f>
        <v>129156.24075640249</v>
      </c>
      <c r="Q191" s="5">
        <f>+Table1[[#This Row],[PRINCIPAL ]]+Table1[[#This Row],[EXTRA PAYMENT]]+Q190</f>
        <v>120843.75924359757</v>
      </c>
      <c r="R191" s="7">
        <f>+Table1[[#This Row],[INTEREST ]]+R190</f>
        <v>118967.67017358186</v>
      </c>
    </row>
    <row r="192" spans="1:18" x14ac:dyDescent="0.25">
      <c r="A192">
        <f t="shared" si="23"/>
        <v>189</v>
      </c>
      <c r="B192" s="1">
        <f t="shared" si="24"/>
        <v>46357</v>
      </c>
      <c r="C192" s="6">
        <f t="shared" si="25"/>
        <v>154960.95783959882</v>
      </c>
      <c r="D192" s="7">
        <f>PPMT(Inputs!$B$4/12,A192,Inputs!$B$5*12,-'Amortization Table'!$C$4)</f>
        <v>675.19794997547672</v>
      </c>
      <c r="E192" s="7">
        <f>IPMT(Inputs!$B$4/12,'Amortization Table'!A192,Inputs!$B$5*12,-'Amortization Table'!$C$4)</f>
        <v>500.39475969037147</v>
      </c>
      <c r="F192" s="7">
        <f t="shared" si="20"/>
        <v>1175.5927096658481</v>
      </c>
      <c r="G192" s="6">
        <f t="shared" si="21"/>
        <v>154285.75988962335</v>
      </c>
      <c r="H192" s="5">
        <f>+H191+Table1[[#This Row],[PRINCIPAL]]</f>
        <v>95714.240110376486</v>
      </c>
      <c r="I192" s="7">
        <f>Table1[[#This Row],[INTEREST]]+I191</f>
        <v>126472.78201646871</v>
      </c>
      <c r="J192" s="11"/>
      <c r="K192" s="7">
        <f t="shared" si="22"/>
        <v>129156.24075640249</v>
      </c>
      <c r="L192" s="7">
        <f>+References!$B$1-Table1[[#This Row],[INTEREST ]]</f>
        <v>758.52568222329842</v>
      </c>
      <c r="M192" s="5">
        <f>+Inputs!$B$11</f>
        <v>100</v>
      </c>
      <c r="N192" s="7">
        <f>+Table1[[#This Row],[BEGINNING BALANCE ]]*Inputs!$B$4/12</f>
        <v>417.06702744254972</v>
      </c>
      <c r="O192" s="7">
        <f>+SUM(Table1[[#This Row],[PRINCIPAL ]:[INTEREST ]])</f>
        <v>1275.5927096658481</v>
      </c>
      <c r="P192" s="7">
        <f>+Table1[[#This Row],[BEGINNING BALANCE ]]-Table1[[#This Row],[PRINCIPAL ]]-Table1[[#This Row],[EXTRA PAYMENT]]</f>
        <v>128297.7150741792</v>
      </c>
      <c r="Q192" s="5">
        <f>+Table1[[#This Row],[PRINCIPAL ]]+Table1[[#This Row],[EXTRA PAYMENT]]+Q191</f>
        <v>121702.28492582086</v>
      </c>
      <c r="R192" s="7">
        <f>+Table1[[#This Row],[INTEREST ]]+R191</f>
        <v>119384.73720102441</v>
      </c>
    </row>
    <row r="193" spans="1:18" x14ac:dyDescent="0.25">
      <c r="A193">
        <f t="shared" si="23"/>
        <v>190</v>
      </c>
      <c r="B193" s="1">
        <f t="shared" si="24"/>
        <v>46388</v>
      </c>
      <c r="C193" s="6">
        <f t="shared" si="25"/>
        <v>154285.75988962335</v>
      </c>
      <c r="D193" s="7">
        <f>PPMT(Inputs!$B$4/12,A193,Inputs!$B$5*12,-'Amortization Table'!$C$4)</f>
        <v>677.3782766889392</v>
      </c>
      <c r="E193" s="7">
        <f>IPMT(Inputs!$B$4/12,'Amortization Table'!A193,Inputs!$B$5*12,-'Amortization Table'!$C$4)</f>
        <v>498.21443297690894</v>
      </c>
      <c r="F193" s="7">
        <f t="shared" si="20"/>
        <v>1175.5927096658481</v>
      </c>
      <c r="G193" s="6">
        <f t="shared" si="21"/>
        <v>153608.3816129344</v>
      </c>
      <c r="H193" s="5">
        <f>+H192+Table1[[#This Row],[PRINCIPAL]]</f>
        <v>96391.61838706542</v>
      </c>
      <c r="I193" s="7">
        <f>Table1[[#This Row],[INTEREST]]+I192</f>
        <v>126970.99644944562</v>
      </c>
      <c r="J193" s="11"/>
      <c r="K193" s="7">
        <f t="shared" si="22"/>
        <v>128297.7150741792</v>
      </c>
      <c r="L193" s="7">
        <f>+References!$B$1-Table1[[#This Row],[INTEREST ]]</f>
        <v>761.29800473881119</v>
      </c>
      <c r="M193" s="5">
        <f>+Inputs!$B$11</f>
        <v>100</v>
      </c>
      <c r="N193" s="7">
        <f>+Table1[[#This Row],[BEGINNING BALANCE ]]*Inputs!$B$4/12</f>
        <v>414.294704927037</v>
      </c>
      <c r="O193" s="7">
        <f>+SUM(Table1[[#This Row],[PRINCIPAL ]:[INTEREST ]])</f>
        <v>1275.5927096658481</v>
      </c>
      <c r="P193" s="7">
        <f>+Table1[[#This Row],[BEGINNING BALANCE ]]-Table1[[#This Row],[PRINCIPAL ]]-Table1[[#This Row],[EXTRA PAYMENT]]</f>
        <v>127436.41706944039</v>
      </c>
      <c r="Q193" s="5">
        <f>+Table1[[#This Row],[PRINCIPAL ]]+Table1[[#This Row],[EXTRA PAYMENT]]+Q192</f>
        <v>122563.58293055967</v>
      </c>
      <c r="R193" s="7">
        <f>+Table1[[#This Row],[INTEREST ]]+R192</f>
        <v>119799.03190595146</v>
      </c>
    </row>
    <row r="194" spans="1:18" x14ac:dyDescent="0.25">
      <c r="A194">
        <f t="shared" si="23"/>
        <v>191</v>
      </c>
      <c r="B194" s="1">
        <f t="shared" si="24"/>
        <v>46419</v>
      </c>
      <c r="C194" s="6">
        <f t="shared" si="25"/>
        <v>153608.3816129344</v>
      </c>
      <c r="D194" s="7">
        <f>PPMT(Inputs!$B$4/12,A194,Inputs!$B$5*12,-'Amortization Table'!$C$4)</f>
        <v>679.5656440407472</v>
      </c>
      <c r="E194" s="7">
        <f>IPMT(Inputs!$B$4/12,'Amortization Table'!A194,Inputs!$B$5*12,-'Amortization Table'!$C$4)</f>
        <v>496.02706562510099</v>
      </c>
      <c r="F194" s="7">
        <f t="shared" si="20"/>
        <v>1175.5927096658481</v>
      </c>
      <c r="G194" s="6">
        <f t="shared" si="21"/>
        <v>152928.81596889367</v>
      </c>
      <c r="H194" s="5">
        <f>+H193+Table1[[#This Row],[PRINCIPAL]]</f>
        <v>97071.184031106168</v>
      </c>
      <c r="I194" s="7">
        <f>Table1[[#This Row],[INTEREST]]+I193</f>
        <v>127467.02351507072</v>
      </c>
      <c r="J194" s="11"/>
      <c r="K194" s="7">
        <f t="shared" si="22"/>
        <v>127436.41706944039</v>
      </c>
      <c r="L194" s="7">
        <f>+References!$B$1-Table1[[#This Row],[INTEREST ]]</f>
        <v>764.07927954578031</v>
      </c>
      <c r="M194" s="5">
        <f>+Inputs!$B$11</f>
        <v>100</v>
      </c>
      <c r="N194" s="7">
        <f>+Table1[[#This Row],[BEGINNING BALANCE ]]*Inputs!$B$4/12</f>
        <v>411.51343012006788</v>
      </c>
      <c r="O194" s="7">
        <f>+SUM(Table1[[#This Row],[PRINCIPAL ]:[INTEREST ]])</f>
        <v>1275.5927096658481</v>
      </c>
      <c r="P194" s="7">
        <f>+Table1[[#This Row],[BEGINNING BALANCE ]]-Table1[[#This Row],[PRINCIPAL ]]-Table1[[#This Row],[EXTRA PAYMENT]]</f>
        <v>126572.33778989461</v>
      </c>
      <c r="Q194" s="5">
        <f>+Table1[[#This Row],[PRINCIPAL ]]+Table1[[#This Row],[EXTRA PAYMENT]]+Q193</f>
        <v>123427.66221010545</v>
      </c>
      <c r="R194" s="7">
        <f>+Table1[[#This Row],[INTEREST ]]+R193</f>
        <v>120210.54533607153</v>
      </c>
    </row>
    <row r="195" spans="1:18" x14ac:dyDescent="0.25">
      <c r="A195">
        <f t="shared" si="23"/>
        <v>192</v>
      </c>
      <c r="B195" s="1">
        <f t="shared" si="24"/>
        <v>46447</v>
      </c>
      <c r="C195" s="6">
        <f t="shared" si="25"/>
        <v>152928.81596889367</v>
      </c>
      <c r="D195" s="7">
        <f>PPMT(Inputs!$B$4/12,A195,Inputs!$B$5*12,-'Amortization Table'!$C$4)</f>
        <v>681.76007476629547</v>
      </c>
      <c r="E195" s="7">
        <f>IPMT(Inputs!$B$4/12,'Amortization Table'!A195,Inputs!$B$5*12,-'Amortization Table'!$C$4)</f>
        <v>493.83263489955266</v>
      </c>
      <c r="F195" s="7">
        <f t="shared" si="20"/>
        <v>1175.5927096658481</v>
      </c>
      <c r="G195" s="6">
        <f t="shared" si="21"/>
        <v>152247.05589412738</v>
      </c>
      <c r="H195" s="5">
        <f>+H194+Table1[[#This Row],[PRINCIPAL]]</f>
        <v>97752.944105872462</v>
      </c>
      <c r="I195" s="7">
        <f>Table1[[#This Row],[INTEREST]]+I194</f>
        <v>127960.85614997026</v>
      </c>
      <c r="J195" s="11"/>
      <c r="K195" s="7">
        <f t="shared" si="22"/>
        <v>126572.33778989461</v>
      </c>
      <c r="L195" s="7">
        <f>+References!$B$1-Table1[[#This Row],[INTEREST ]]</f>
        <v>766.86953555264677</v>
      </c>
      <c r="M195" s="5">
        <f>+Inputs!$B$11</f>
        <v>100</v>
      </c>
      <c r="N195" s="7">
        <f>+Table1[[#This Row],[BEGINNING BALANCE ]]*Inputs!$B$4/12</f>
        <v>408.72317411320131</v>
      </c>
      <c r="O195" s="7">
        <f>+SUM(Table1[[#This Row],[PRINCIPAL ]:[INTEREST ]])</f>
        <v>1275.5927096658481</v>
      </c>
      <c r="P195" s="7">
        <f>+Table1[[#This Row],[BEGINNING BALANCE ]]-Table1[[#This Row],[PRINCIPAL ]]-Table1[[#This Row],[EXTRA PAYMENT]]</f>
        <v>125705.46825434196</v>
      </c>
      <c r="Q195" s="5">
        <f>+Table1[[#This Row],[PRINCIPAL ]]+Table1[[#This Row],[EXTRA PAYMENT]]+Q194</f>
        <v>124294.5317456581</v>
      </c>
      <c r="R195" s="7">
        <f>+Table1[[#This Row],[INTEREST ]]+R194</f>
        <v>120619.26851018473</v>
      </c>
    </row>
    <row r="196" spans="1:18" x14ac:dyDescent="0.25">
      <c r="A196">
        <f t="shared" si="23"/>
        <v>193</v>
      </c>
      <c r="B196" s="1">
        <f t="shared" si="24"/>
        <v>46478</v>
      </c>
      <c r="C196" s="6">
        <f t="shared" si="25"/>
        <v>152247.05589412738</v>
      </c>
      <c r="D196" s="7">
        <f>PPMT(Inputs!$B$4/12,A196,Inputs!$B$5*12,-'Amortization Table'!$C$4)</f>
        <v>683.96159167439498</v>
      </c>
      <c r="E196" s="7">
        <f>IPMT(Inputs!$B$4/12,'Amortization Table'!A196,Inputs!$B$5*12,-'Amortization Table'!$C$4)</f>
        <v>491.63111799145315</v>
      </c>
      <c r="F196" s="7">
        <f t="shared" ref="F196:F259" si="26">+SUM(D196:E196)</f>
        <v>1175.5927096658481</v>
      </c>
      <c r="G196" s="6">
        <f t="shared" ref="G196:G259" si="27">+C196-D196</f>
        <v>151563.09430245298</v>
      </c>
      <c r="H196" s="5">
        <f>+H195+Table1[[#This Row],[PRINCIPAL]]</f>
        <v>98436.905697546856</v>
      </c>
      <c r="I196" s="7">
        <f>Table1[[#This Row],[INTEREST]]+I195</f>
        <v>128452.48726796171</v>
      </c>
      <c r="J196" s="11"/>
      <c r="K196" s="7">
        <f t="shared" si="22"/>
        <v>125705.46825434196</v>
      </c>
      <c r="L196" s="7">
        <f>+References!$B$1-Table1[[#This Row],[INTEREST ]]</f>
        <v>769.6688017612023</v>
      </c>
      <c r="M196" s="5">
        <f>+Inputs!$B$11</f>
        <v>100</v>
      </c>
      <c r="N196" s="7">
        <f>+Table1[[#This Row],[BEGINNING BALANCE ]]*Inputs!$B$4/12</f>
        <v>405.92390790464589</v>
      </c>
      <c r="O196" s="7">
        <f>+SUM(Table1[[#This Row],[PRINCIPAL ]:[INTEREST ]])</f>
        <v>1275.5927096658481</v>
      </c>
      <c r="P196" s="7">
        <f>+Table1[[#This Row],[BEGINNING BALANCE ]]-Table1[[#This Row],[PRINCIPAL ]]-Table1[[#This Row],[EXTRA PAYMENT]]</f>
        <v>124835.79945258076</v>
      </c>
      <c r="Q196" s="5">
        <f>+Table1[[#This Row],[PRINCIPAL ]]+Table1[[#This Row],[EXTRA PAYMENT]]+Q195</f>
        <v>125164.2005474193</v>
      </c>
      <c r="R196" s="7">
        <f>+Table1[[#This Row],[INTEREST ]]+R195</f>
        <v>121025.19241808938</v>
      </c>
    </row>
    <row r="197" spans="1:18" x14ac:dyDescent="0.25">
      <c r="A197">
        <f t="shared" si="23"/>
        <v>194</v>
      </c>
      <c r="B197" s="1">
        <f t="shared" si="24"/>
        <v>46508</v>
      </c>
      <c r="C197" s="6">
        <f t="shared" si="25"/>
        <v>151563.09430245298</v>
      </c>
      <c r="D197" s="7">
        <f>PPMT(Inputs!$B$4/12,A197,Inputs!$B$5*12,-'Amortization Table'!$C$4)</f>
        <v>686.17021764751007</v>
      </c>
      <c r="E197" s="7">
        <f>IPMT(Inputs!$B$4/12,'Amortization Table'!A197,Inputs!$B$5*12,-'Amortization Table'!$C$4)</f>
        <v>489.42249201833783</v>
      </c>
      <c r="F197" s="7">
        <f t="shared" si="26"/>
        <v>1175.5927096658479</v>
      </c>
      <c r="G197" s="6">
        <f t="shared" si="27"/>
        <v>150876.92408480548</v>
      </c>
      <c r="H197" s="5">
        <f>+H196+Table1[[#This Row],[PRINCIPAL]]</f>
        <v>99123.075915194364</v>
      </c>
      <c r="I197" s="7">
        <f>Table1[[#This Row],[INTEREST]]+I196</f>
        <v>128941.90975998004</v>
      </c>
      <c r="J197" s="11"/>
      <c r="K197" s="7">
        <f t="shared" si="22"/>
        <v>124835.79945258076</v>
      </c>
      <c r="L197" s="7">
        <f>+References!$B$1-Table1[[#This Row],[INTEREST ]]</f>
        <v>772.47710726688933</v>
      </c>
      <c r="M197" s="5">
        <f>+Inputs!$B$11</f>
        <v>100</v>
      </c>
      <c r="N197" s="7">
        <f>+Table1[[#This Row],[BEGINNING BALANCE ]]*Inputs!$B$4/12</f>
        <v>403.11560239895874</v>
      </c>
      <c r="O197" s="7">
        <f>+SUM(Table1[[#This Row],[PRINCIPAL ]:[INTEREST ]])</f>
        <v>1275.5927096658481</v>
      </c>
      <c r="P197" s="7">
        <f>+Table1[[#This Row],[BEGINNING BALANCE ]]-Table1[[#This Row],[PRINCIPAL ]]-Table1[[#This Row],[EXTRA PAYMENT]]</f>
        <v>123963.32234531386</v>
      </c>
      <c r="Q197" s="5">
        <f>+Table1[[#This Row],[PRINCIPAL ]]+Table1[[#This Row],[EXTRA PAYMENT]]+Q196</f>
        <v>126036.67765468619</v>
      </c>
      <c r="R197" s="7">
        <f>+Table1[[#This Row],[INTEREST ]]+R196</f>
        <v>121428.30802048834</v>
      </c>
    </row>
    <row r="198" spans="1:18" x14ac:dyDescent="0.25">
      <c r="A198">
        <f t="shared" si="23"/>
        <v>195</v>
      </c>
      <c r="B198" s="1">
        <f t="shared" si="24"/>
        <v>46539</v>
      </c>
      <c r="C198" s="6">
        <f t="shared" si="25"/>
        <v>150876.92408480548</v>
      </c>
      <c r="D198" s="7">
        <f>PPMT(Inputs!$B$4/12,A198,Inputs!$B$5*12,-'Amortization Table'!$C$4)</f>
        <v>688.38597564199699</v>
      </c>
      <c r="E198" s="7">
        <f>IPMT(Inputs!$B$4/12,'Amortization Table'!A198,Inputs!$B$5*12,-'Amortization Table'!$C$4)</f>
        <v>487.2067340238512</v>
      </c>
      <c r="F198" s="7">
        <f t="shared" si="26"/>
        <v>1175.5927096658481</v>
      </c>
      <c r="G198" s="6">
        <f t="shared" si="27"/>
        <v>150188.53810916349</v>
      </c>
      <c r="H198" s="5">
        <f>+H197+Table1[[#This Row],[PRINCIPAL]]</f>
        <v>99811.461890836363</v>
      </c>
      <c r="I198" s="7">
        <f>Table1[[#This Row],[INTEREST]]+I197</f>
        <v>129429.1164940039</v>
      </c>
      <c r="J198" s="11"/>
      <c r="K198" s="7">
        <f t="shared" ref="K198:K261" si="28">+P197</f>
        <v>123963.32234531386</v>
      </c>
      <c r="L198" s="7">
        <f>+References!$B$1-Table1[[#This Row],[INTEREST ]]</f>
        <v>775.2944812591054</v>
      </c>
      <c r="M198" s="5">
        <f>+Inputs!$B$11</f>
        <v>100</v>
      </c>
      <c r="N198" s="7">
        <f>+Table1[[#This Row],[BEGINNING BALANCE ]]*Inputs!$B$4/12</f>
        <v>400.29822840674268</v>
      </c>
      <c r="O198" s="7">
        <f>+SUM(Table1[[#This Row],[PRINCIPAL ]:[INTEREST ]])</f>
        <v>1275.5927096658481</v>
      </c>
      <c r="P198" s="7">
        <f>+Table1[[#This Row],[BEGINNING BALANCE ]]-Table1[[#This Row],[PRINCIPAL ]]-Table1[[#This Row],[EXTRA PAYMENT]]</f>
        <v>123088.02786405476</v>
      </c>
      <c r="Q198" s="5">
        <f>+Table1[[#This Row],[PRINCIPAL ]]+Table1[[#This Row],[EXTRA PAYMENT]]+Q197</f>
        <v>126911.9721359453</v>
      </c>
      <c r="R198" s="7">
        <f>+Table1[[#This Row],[INTEREST ]]+R197</f>
        <v>121828.60624889508</v>
      </c>
    </row>
    <row r="199" spans="1:18" x14ac:dyDescent="0.25">
      <c r="A199">
        <f t="shared" si="23"/>
        <v>196</v>
      </c>
      <c r="B199" s="1">
        <f t="shared" si="24"/>
        <v>46569</v>
      </c>
      <c r="C199" s="6">
        <f t="shared" si="25"/>
        <v>150188.53810916349</v>
      </c>
      <c r="D199" s="7">
        <f>PPMT(Inputs!$B$4/12,A199,Inputs!$B$5*12,-'Amortization Table'!$C$4)</f>
        <v>690.60888868834081</v>
      </c>
      <c r="E199" s="7">
        <f>IPMT(Inputs!$B$4/12,'Amortization Table'!A199,Inputs!$B$5*12,-'Amortization Table'!$C$4)</f>
        <v>484.98382097750721</v>
      </c>
      <c r="F199" s="7">
        <f t="shared" si="26"/>
        <v>1175.5927096658479</v>
      </c>
      <c r="G199" s="6">
        <f t="shared" si="27"/>
        <v>149497.92922047514</v>
      </c>
      <c r="H199" s="5">
        <f>+H198+Table1[[#This Row],[PRINCIPAL]]</f>
        <v>100502.0707795247</v>
      </c>
      <c r="I199" s="7">
        <f>Table1[[#This Row],[INTEREST]]+I198</f>
        <v>129914.10031498141</v>
      </c>
      <c r="J199" s="11"/>
      <c r="K199" s="7">
        <f t="shared" si="28"/>
        <v>123088.02786405476</v>
      </c>
      <c r="L199" s="7">
        <f>+References!$B$1-Table1[[#This Row],[INTEREST ]]</f>
        <v>778.12095302150465</v>
      </c>
      <c r="M199" s="5">
        <f>+Inputs!$B$11</f>
        <v>100</v>
      </c>
      <c r="N199" s="7">
        <f>+Table1[[#This Row],[BEGINNING BALANCE ]]*Inputs!$B$4/12</f>
        <v>397.47175664434349</v>
      </c>
      <c r="O199" s="7">
        <f>+SUM(Table1[[#This Row],[PRINCIPAL ]:[INTEREST ]])</f>
        <v>1275.5927096658481</v>
      </c>
      <c r="P199" s="7">
        <f>+Table1[[#This Row],[BEGINNING BALANCE ]]-Table1[[#This Row],[PRINCIPAL ]]-Table1[[#This Row],[EXTRA PAYMENT]]</f>
        <v>122209.90691103326</v>
      </c>
      <c r="Q199" s="5">
        <f>+Table1[[#This Row],[PRINCIPAL ]]+Table1[[#This Row],[EXTRA PAYMENT]]+Q198</f>
        <v>127790.09308896679</v>
      </c>
      <c r="R199" s="7">
        <f>+Table1[[#This Row],[INTEREST ]]+R198</f>
        <v>122226.07800553943</v>
      </c>
    </row>
    <row r="200" spans="1:18" x14ac:dyDescent="0.25">
      <c r="A200">
        <f t="shared" si="23"/>
        <v>197</v>
      </c>
      <c r="B200" s="1">
        <f t="shared" si="24"/>
        <v>46600</v>
      </c>
      <c r="C200" s="6">
        <f t="shared" si="25"/>
        <v>149497.92922047514</v>
      </c>
      <c r="D200" s="7">
        <f>PPMT(Inputs!$B$4/12,A200,Inputs!$B$5*12,-'Amortization Table'!$C$4)</f>
        <v>692.83897989139712</v>
      </c>
      <c r="E200" s="7">
        <f>IPMT(Inputs!$B$4/12,'Amortization Table'!A200,Inputs!$B$5*12,-'Amortization Table'!$C$4)</f>
        <v>482.75372977445124</v>
      </c>
      <c r="F200" s="7">
        <f t="shared" si="26"/>
        <v>1175.5927096658484</v>
      </c>
      <c r="G200" s="6">
        <f t="shared" si="27"/>
        <v>148805.09024058376</v>
      </c>
      <c r="H200" s="5">
        <f>+H199+Table1[[#This Row],[PRINCIPAL]]</f>
        <v>101194.9097594161</v>
      </c>
      <c r="I200" s="7">
        <f>Table1[[#This Row],[INTEREST]]+I199</f>
        <v>130396.85404475586</v>
      </c>
      <c r="J200" s="11"/>
      <c r="K200" s="7">
        <f t="shared" si="28"/>
        <v>122209.90691103326</v>
      </c>
      <c r="L200" s="7">
        <f>+References!$B$1-Table1[[#This Row],[INTEREST ]]</f>
        <v>780.95655193230323</v>
      </c>
      <c r="M200" s="5">
        <f>+Inputs!$B$11</f>
        <v>100</v>
      </c>
      <c r="N200" s="7">
        <f>+Table1[[#This Row],[BEGINNING BALANCE ]]*Inputs!$B$4/12</f>
        <v>394.63615773354491</v>
      </c>
      <c r="O200" s="7">
        <f>+SUM(Table1[[#This Row],[PRINCIPAL ]:[INTEREST ]])</f>
        <v>1275.5927096658481</v>
      </c>
      <c r="P200" s="7">
        <f>+Table1[[#This Row],[BEGINNING BALANCE ]]-Table1[[#This Row],[PRINCIPAL ]]-Table1[[#This Row],[EXTRA PAYMENT]]</f>
        <v>121328.95035910096</v>
      </c>
      <c r="Q200" s="5">
        <f>+Table1[[#This Row],[PRINCIPAL ]]+Table1[[#This Row],[EXTRA PAYMENT]]+Q199</f>
        <v>128671.0496408991</v>
      </c>
      <c r="R200" s="7">
        <f>+Table1[[#This Row],[INTEREST ]]+R199</f>
        <v>122620.71416327298</v>
      </c>
    </row>
    <row r="201" spans="1:18" x14ac:dyDescent="0.25">
      <c r="A201">
        <f t="shared" si="23"/>
        <v>198</v>
      </c>
      <c r="B201" s="1">
        <f t="shared" si="24"/>
        <v>46631</v>
      </c>
      <c r="C201" s="6">
        <f t="shared" si="25"/>
        <v>148805.09024058376</v>
      </c>
      <c r="D201" s="7">
        <f>PPMT(Inputs!$B$4/12,A201,Inputs!$B$5*12,-'Amortization Table'!$C$4)</f>
        <v>695.07627243062961</v>
      </c>
      <c r="E201" s="7">
        <f>IPMT(Inputs!$B$4/12,'Amortization Table'!A201,Inputs!$B$5*12,-'Amortization Table'!$C$4)</f>
        <v>480.51643723521858</v>
      </c>
      <c r="F201" s="7">
        <f t="shared" si="26"/>
        <v>1175.5927096658481</v>
      </c>
      <c r="G201" s="6">
        <f t="shared" si="27"/>
        <v>148110.01396815313</v>
      </c>
      <c r="H201" s="5">
        <f>+H200+Table1[[#This Row],[PRINCIPAL]]</f>
        <v>101889.98603184673</v>
      </c>
      <c r="I201" s="7">
        <f>Table1[[#This Row],[INTEREST]]+I200</f>
        <v>130877.37048199108</v>
      </c>
      <c r="J201" s="11"/>
      <c r="K201" s="7">
        <f t="shared" si="28"/>
        <v>121328.95035910096</v>
      </c>
      <c r="L201" s="7">
        <f>+References!$B$1-Table1[[#This Row],[INTEREST ]]</f>
        <v>783.80130746458462</v>
      </c>
      <c r="M201" s="5">
        <f>+Inputs!$B$11</f>
        <v>100</v>
      </c>
      <c r="N201" s="7">
        <f>+Table1[[#This Row],[BEGINNING BALANCE ]]*Inputs!$B$4/12</f>
        <v>391.79140220126351</v>
      </c>
      <c r="O201" s="7">
        <f>+SUM(Table1[[#This Row],[PRINCIPAL ]:[INTEREST ]])</f>
        <v>1275.5927096658481</v>
      </c>
      <c r="P201" s="7">
        <f>+Table1[[#This Row],[BEGINNING BALANCE ]]-Table1[[#This Row],[PRINCIPAL ]]-Table1[[#This Row],[EXTRA PAYMENT]]</f>
        <v>120445.14905163637</v>
      </c>
      <c r="Q201" s="5">
        <f>+Table1[[#This Row],[PRINCIPAL ]]+Table1[[#This Row],[EXTRA PAYMENT]]+Q200</f>
        <v>129554.85094836369</v>
      </c>
      <c r="R201" s="7">
        <f>+Table1[[#This Row],[INTEREST ]]+R200</f>
        <v>123012.50556547425</v>
      </c>
    </row>
    <row r="202" spans="1:18" x14ac:dyDescent="0.25">
      <c r="A202">
        <f t="shared" si="23"/>
        <v>199</v>
      </c>
      <c r="B202" s="1">
        <f t="shared" si="24"/>
        <v>46661</v>
      </c>
      <c r="C202" s="6">
        <f t="shared" si="25"/>
        <v>148110.01396815313</v>
      </c>
      <c r="D202" s="7">
        <f>PPMT(Inputs!$B$4/12,A202,Inputs!$B$5*12,-'Amortization Table'!$C$4)</f>
        <v>697.32078956035343</v>
      </c>
      <c r="E202" s="7">
        <f>IPMT(Inputs!$B$4/12,'Amortization Table'!A202,Inputs!$B$5*12,-'Amortization Table'!$C$4)</f>
        <v>478.27192010549459</v>
      </c>
      <c r="F202" s="7">
        <f t="shared" si="26"/>
        <v>1175.5927096658479</v>
      </c>
      <c r="G202" s="6">
        <f t="shared" si="27"/>
        <v>147412.69317859277</v>
      </c>
      <c r="H202" s="5">
        <f>+H201+Table1[[#This Row],[PRINCIPAL]]</f>
        <v>102587.30682140708</v>
      </c>
      <c r="I202" s="7">
        <f>Table1[[#This Row],[INTEREST]]+I201</f>
        <v>131355.64240209656</v>
      </c>
      <c r="J202" s="11"/>
      <c r="K202" s="7">
        <f t="shared" si="28"/>
        <v>120445.14905163637</v>
      </c>
      <c r="L202" s="7">
        <f>+References!$B$1-Table1[[#This Row],[INTEREST ]]</f>
        <v>786.65524918660572</v>
      </c>
      <c r="M202" s="5">
        <f>+Inputs!$B$11</f>
        <v>100</v>
      </c>
      <c r="N202" s="7">
        <f>+Table1[[#This Row],[BEGINNING BALANCE ]]*Inputs!$B$4/12</f>
        <v>388.93746047924242</v>
      </c>
      <c r="O202" s="7">
        <f>+SUM(Table1[[#This Row],[PRINCIPAL ]:[INTEREST ]])</f>
        <v>1275.5927096658481</v>
      </c>
      <c r="P202" s="7">
        <f>+Table1[[#This Row],[BEGINNING BALANCE ]]-Table1[[#This Row],[PRINCIPAL ]]-Table1[[#This Row],[EXTRA PAYMENT]]</f>
        <v>119558.49380244977</v>
      </c>
      <c r="Q202" s="5">
        <f>+Table1[[#This Row],[PRINCIPAL ]]+Table1[[#This Row],[EXTRA PAYMENT]]+Q201</f>
        <v>130441.50619755029</v>
      </c>
      <c r="R202" s="7">
        <f>+Table1[[#This Row],[INTEREST ]]+R201</f>
        <v>123401.44302595349</v>
      </c>
    </row>
    <row r="203" spans="1:18" x14ac:dyDescent="0.25">
      <c r="A203">
        <f t="shared" si="23"/>
        <v>200</v>
      </c>
      <c r="B203" s="1">
        <f t="shared" si="24"/>
        <v>46692</v>
      </c>
      <c r="C203" s="6">
        <f t="shared" si="25"/>
        <v>147412.69317859277</v>
      </c>
      <c r="D203" s="7">
        <f>PPMT(Inputs!$B$4/12,A203,Inputs!$B$5*12,-'Amortization Table'!$C$4)</f>
        <v>699.57255460997555</v>
      </c>
      <c r="E203" s="7">
        <f>IPMT(Inputs!$B$4/12,'Amortization Table'!A203,Inputs!$B$5*12,-'Amortization Table'!$C$4)</f>
        <v>476.02015505587258</v>
      </c>
      <c r="F203" s="7">
        <f t="shared" si="26"/>
        <v>1175.5927096658481</v>
      </c>
      <c r="G203" s="6">
        <f t="shared" si="27"/>
        <v>146713.1206239828</v>
      </c>
      <c r="H203" s="5">
        <f>+H202+Table1[[#This Row],[PRINCIPAL]]</f>
        <v>103286.87937601705</v>
      </c>
      <c r="I203" s="7">
        <f>Table1[[#This Row],[INTEREST]]+I202</f>
        <v>131831.66255715245</v>
      </c>
      <c r="J203" s="11"/>
      <c r="K203" s="7">
        <f t="shared" si="28"/>
        <v>119558.49380244977</v>
      </c>
      <c r="L203" s="7">
        <f>+References!$B$1-Table1[[#This Row],[INTEREST ]]</f>
        <v>789.51840676210418</v>
      </c>
      <c r="M203" s="5">
        <f>+Inputs!$B$11</f>
        <v>100</v>
      </c>
      <c r="N203" s="7">
        <f>+Table1[[#This Row],[BEGINNING BALANCE ]]*Inputs!$B$4/12</f>
        <v>386.07430290374401</v>
      </c>
      <c r="O203" s="7">
        <f>+SUM(Table1[[#This Row],[PRINCIPAL ]:[INTEREST ]])</f>
        <v>1275.5927096658481</v>
      </c>
      <c r="P203" s="7">
        <f>+Table1[[#This Row],[BEGINNING BALANCE ]]-Table1[[#This Row],[PRINCIPAL ]]-Table1[[#This Row],[EXTRA PAYMENT]]</f>
        <v>118668.97539568767</v>
      </c>
      <c r="Q203" s="5">
        <f>+Table1[[#This Row],[PRINCIPAL ]]+Table1[[#This Row],[EXTRA PAYMENT]]+Q202</f>
        <v>131331.02460431241</v>
      </c>
      <c r="R203" s="7">
        <f>+Table1[[#This Row],[INTEREST ]]+R202</f>
        <v>123787.51732885723</v>
      </c>
    </row>
    <row r="204" spans="1:18" x14ac:dyDescent="0.25">
      <c r="A204">
        <f t="shared" si="23"/>
        <v>201</v>
      </c>
      <c r="B204" s="1">
        <f t="shared" si="24"/>
        <v>46722</v>
      </c>
      <c r="C204" s="6">
        <f t="shared" si="25"/>
        <v>146713.1206239828</v>
      </c>
      <c r="D204" s="7">
        <f>PPMT(Inputs!$B$4/12,A204,Inputs!$B$5*12,-'Amortization Table'!$C$4)</f>
        <v>701.83159098423687</v>
      </c>
      <c r="E204" s="7">
        <f>IPMT(Inputs!$B$4/12,'Amortization Table'!A204,Inputs!$B$5*12,-'Amortization Table'!$C$4)</f>
        <v>473.76111868161121</v>
      </c>
      <c r="F204" s="7">
        <f t="shared" si="26"/>
        <v>1175.5927096658481</v>
      </c>
      <c r="G204" s="6">
        <f t="shared" si="27"/>
        <v>146011.28903299855</v>
      </c>
      <c r="H204" s="5">
        <f>+H203+Table1[[#This Row],[PRINCIPAL]]</f>
        <v>103988.71096700129</v>
      </c>
      <c r="I204" s="7">
        <f>Table1[[#This Row],[INTEREST]]+I203</f>
        <v>132305.42367583406</v>
      </c>
      <c r="J204" s="11"/>
      <c r="K204" s="7">
        <f t="shared" si="28"/>
        <v>118668.97539568767</v>
      </c>
      <c r="L204" s="7">
        <f>+References!$B$1-Table1[[#This Row],[INTEREST ]]</f>
        <v>792.39080995060681</v>
      </c>
      <c r="M204" s="5">
        <f>+Inputs!$B$11</f>
        <v>100</v>
      </c>
      <c r="N204" s="7">
        <f>+Table1[[#This Row],[BEGINNING BALANCE ]]*Inputs!$B$4/12</f>
        <v>383.20189971524138</v>
      </c>
      <c r="O204" s="7">
        <f>+SUM(Table1[[#This Row],[PRINCIPAL ]:[INTEREST ]])</f>
        <v>1275.5927096658481</v>
      </c>
      <c r="P204" s="7">
        <f>+Table1[[#This Row],[BEGINNING BALANCE ]]-Table1[[#This Row],[PRINCIPAL ]]-Table1[[#This Row],[EXTRA PAYMENT]]</f>
        <v>117776.58458573706</v>
      </c>
      <c r="Q204" s="5">
        <f>+Table1[[#This Row],[PRINCIPAL ]]+Table1[[#This Row],[EXTRA PAYMENT]]+Q203</f>
        <v>132223.415414263</v>
      </c>
      <c r="R204" s="7">
        <f>+Table1[[#This Row],[INTEREST ]]+R203</f>
        <v>124170.71922857247</v>
      </c>
    </row>
    <row r="205" spans="1:18" x14ac:dyDescent="0.25">
      <c r="A205">
        <f t="shared" si="23"/>
        <v>202</v>
      </c>
      <c r="B205" s="1">
        <f t="shared" si="24"/>
        <v>46753</v>
      </c>
      <c r="C205" s="6">
        <f t="shared" si="25"/>
        <v>146011.28903299855</v>
      </c>
      <c r="D205" s="7">
        <f>PPMT(Inputs!$B$4/12,A205,Inputs!$B$5*12,-'Amortization Table'!$C$4)</f>
        <v>704.09792216345681</v>
      </c>
      <c r="E205" s="7">
        <f>IPMT(Inputs!$B$4/12,'Amortization Table'!A205,Inputs!$B$5*12,-'Amortization Table'!$C$4)</f>
        <v>471.49478750239132</v>
      </c>
      <c r="F205" s="7">
        <f t="shared" si="26"/>
        <v>1175.5927096658481</v>
      </c>
      <c r="G205" s="6">
        <f t="shared" si="27"/>
        <v>145307.19111083509</v>
      </c>
      <c r="H205" s="5">
        <f>+H204+Table1[[#This Row],[PRINCIPAL]]</f>
        <v>104692.80888916475</v>
      </c>
      <c r="I205" s="7">
        <f>Table1[[#This Row],[INTEREST]]+I204</f>
        <v>132776.91846333645</v>
      </c>
      <c r="J205" s="11"/>
      <c r="K205" s="7">
        <f t="shared" si="28"/>
        <v>117776.58458573706</v>
      </c>
      <c r="L205" s="7">
        <f>+References!$B$1-Table1[[#This Row],[INTEREST ]]</f>
        <v>795.27248860773898</v>
      </c>
      <c r="M205" s="5">
        <f>+Inputs!$B$11</f>
        <v>100</v>
      </c>
      <c r="N205" s="7">
        <f>+Table1[[#This Row],[BEGINNING BALANCE ]]*Inputs!$B$4/12</f>
        <v>380.32022105810921</v>
      </c>
      <c r="O205" s="7">
        <f>+SUM(Table1[[#This Row],[PRINCIPAL ]:[INTEREST ]])</f>
        <v>1275.5927096658481</v>
      </c>
      <c r="P205" s="7">
        <f>+Table1[[#This Row],[BEGINNING BALANCE ]]-Table1[[#This Row],[PRINCIPAL ]]-Table1[[#This Row],[EXTRA PAYMENT]]</f>
        <v>116881.31209712932</v>
      </c>
      <c r="Q205" s="5">
        <f>+Table1[[#This Row],[PRINCIPAL ]]+Table1[[#This Row],[EXTRA PAYMENT]]+Q204</f>
        <v>133118.68790287073</v>
      </c>
      <c r="R205" s="7">
        <f>+Table1[[#This Row],[INTEREST ]]+R204</f>
        <v>124551.03944963058</v>
      </c>
    </row>
    <row r="206" spans="1:18" x14ac:dyDescent="0.25">
      <c r="A206">
        <f t="shared" si="23"/>
        <v>203</v>
      </c>
      <c r="B206" s="1">
        <f t="shared" si="24"/>
        <v>46784</v>
      </c>
      <c r="C206" s="6">
        <f t="shared" si="25"/>
        <v>145307.19111083509</v>
      </c>
      <c r="D206" s="7">
        <f>PPMT(Inputs!$B$4/12,A206,Inputs!$B$5*12,-'Amortization Table'!$C$4)</f>
        <v>706.37157170377634</v>
      </c>
      <c r="E206" s="7">
        <f>IPMT(Inputs!$B$4/12,'Amortization Table'!A206,Inputs!$B$5*12,-'Amortization Table'!$C$4)</f>
        <v>469.22113796207185</v>
      </c>
      <c r="F206" s="7">
        <f t="shared" si="26"/>
        <v>1175.5927096658481</v>
      </c>
      <c r="G206" s="6">
        <f t="shared" si="27"/>
        <v>144600.81953913131</v>
      </c>
      <c r="H206" s="5">
        <f>+H205+Table1[[#This Row],[PRINCIPAL]]</f>
        <v>105399.18046086852</v>
      </c>
      <c r="I206" s="7">
        <f>Table1[[#This Row],[INTEREST]]+I205</f>
        <v>133246.13960129852</v>
      </c>
      <c r="J206" s="11"/>
      <c r="K206" s="7">
        <f t="shared" si="28"/>
        <v>116881.31209712932</v>
      </c>
      <c r="L206" s="7">
        <f>+References!$B$1-Table1[[#This Row],[INTEREST ]]</f>
        <v>798.16347268553477</v>
      </c>
      <c r="M206" s="5">
        <f>+Inputs!$B$11</f>
        <v>100</v>
      </c>
      <c r="N206" s="7">
        <f>+Table1[[#This Row],[BEGINNING BALANCE ]]*Inputs!$B$4/12</f>
        <v>377.42923698031342</v>
      </c>
      <c r="O206" s="7">
        <f>+SUM(Table1[[#This Row],[PRINCIPAL ]:[INTEREST ]])</f>
        <v>1275.5927096658481</v>
      </c>
      <c r="P206" s="7">
        <f>+Table1[[#This Row],[BEGINNING BALANCE ]]-Table1[[#This Row],[PRINCIPAL ]]-Table1[[#This Row],[EXTRA PAYMENT]]</f>
        <v>115983.14862444378</v>
      </c>
      <c r="Q206" s="5">
        <f>+Table1[[#This Row],[PRINCIPAL ]]+Table1[[#This Row],[EXTRA PAYMENT]]+Q205</f>
        <v>134016.85137555626</v>
      </c>
      <c r="R206" s="7">
        <f>+Table1[[#This Row],[INTEREST ]]+R205</f>
        <v>124928.4686866109</v>
      </c>
    </row>
    <row r="207" spans="1:18" x14ac:dyDescent="0.25">
      <c r="A207">
        <f t="shared" si="23"/>
        <v>204</v>
      </c>
      <c r="B207" s="1">
        <f t="shared" si="24"/>
        <v>46813</v>
      </c>
      <c r="C207" s="6">
        <f t="shared" si="25"/>
        <v>144600.81953913131</v>
      </c>
      <c r="D207" s="7">
        <f>PPMT(Inputs!$B$4/12,A207,Inputs!$B$5*12,-'Amortization Table'!$C$4)</f>
        <v>708.652563237403</v>
      </c>
      <c r="E207" s="7">
        <f>IPMT(Inputs!$B$4/12,'Amortization Table'!A207,Inputs!$B$5*12,-'Amortization Table'!$C$4)</f>
        <v>466.9401464284449</v>
      </c>
      <c r="F207" s="7">
        <f t="shared" si="26"/>
        <v>1175.5927096658479</v>
      </c>
      <c r="G207" s="6">
        <f t="shared" si="27"/>
        <v>143892.1669758939</v>
      </c>
      <c r="H207" s="5">
        <f>+H206+Table1[[#This Row],[PRINCIPAL]]</f>
        <v>106107.83302410592</v>
      </c>
      <c r="I207" s="7">
        <f>Table1[[#This Row],[INTEREST]]+I206</f>
        <v>133713.07974772697</v>
      </c>
      <c r="J207" s="11"/>
      <c r="K207" s="7">
        <f t="shared" si="28"/>
        <v>115983.14862444378</v>
      </c>
      <c r="L207" s="7">
        <f>+References!$B$1-Table1[[#This Row],[INTEREST ]]</f>
        <v>801.06379223274848</v>
      </c>
      <c r="M207" s="5">
        <f>+Inputs!$B$11</f>
        <v>100</v>
      </c>
      <c r="N207" s="7">
        <f>+Table1[[#This Row],[BEGINNING BALANCE ]]*Inputs!$B$4/12</f>
        <v>374.52891743309971</v>
      </c>
      <c r="O207" s="7">
        <f>+SUM(Table1[[#This Row],[PRINCIPAL ]:[INTEREST ]])</f>
        <v>1275.5927096658481</v>
      </c>
      <c r="P207" s="7">
        <f>+Table1[[#This Row],[BEGINNING BALANCE ]]-Table1[[#This Row],[PRINCIPAL ]]-Table1[[#This Row],[EXTRA PAYMENT]]</f>
        <v>115082.08483221104</v>
      </c>
      <c r="Q207" s="5">
        <f>+Table1[[#This Row],[PRINCIPAL ]]+Table1[[#This Row],[EXTRA PAYMENT]]+Q206</f>
        <v>134917.915167789</v>
      </c>
      <c r="R207" s="7">
        <f>+Table1[[#This Row],[INTEREST ]]+R206</f>
        <v>125302.99760404399</v>
      </c>
    </row>
    <row r="208" spans="1:18" x14ac:dyDescent="0.25">
      <c r="A208">
        <f t="shared" si="23"/>
        <v>205</v>
      </c>
      <c r="B208" s="1">
        <f t="shared" si="24"/>
        <v>46844</v>
      </c>
      <c r="C208" s="6">
        <f t="shared" si="25"/>
        <v>143892.1669758939</v>
      </c>
      <c r="D208" s="7">
        <f>PPMT(Inputs!$B$4/12,A208,Inputs!$B$5*12,-'Amortization Table'!$C$4)</f>
        <v>710.94092047285721</v>
      </c>
      <c r="E208" s="7">
        <f>IPMT(Inputs!$B$4/12,'Amortization Table'!A208,Inputs!$B$5*12,-'Amortization Table'!$C$4)</f>
        <v>464.65178919299086</v>
      </c>
      <c r="F208" s="7">
        <f t="shared" si="26"/>
        <v>1175.5927096658481</v>
      </c>
      <c r="G208" s="6">
        <f t="shared" si="27"/>
        <v>143181.22605542105</v>
      </c>
      <c r="H208" s="5">
        <f>+H207+Table1[[#This Row],[PRINCIPAL]]</f>
        <v>106818.77394457877</v>
      </c>
      <c r="I208" s="7">
        <f>Table1[[#This Row],[INTEREST]]+I207</f>
        <v>134177.73153691995</v>
      </c>
      <c r="J208" s="11"/>
      <c r="K208" s="7">
        <f t="shared" si="28"/>
        <v>115082.08483221104</v>
      </c>
      <c r="L208" s="7">
        <f>+References!$B$1-Table1[[#This Row],[INTEREST ]]</f>
        <v>803.97347739516658</v>
      </c>
      <c r="M208" s="5">
        <f>+Inputs!$B$11</f>
        <v>100</v>
      </c>
      <c r="N208" s="7">
        <f>+Table1[[#This Row],[BEGINNING BALANCE ]]*Inputs!$B$4/12</f>
        <v>371.61923227068149</v>
      </c>
      <c r="O208" s="7">
        <f>+SUM(Table1[[#This Row],[PRINCIPAL ]:[INTEREST ]])</f>
        <v>1275.5927096658481</v>
      </c>
      <c r="P208" s="7">
        <f>+Table1[[#This Row],[BEGINNING BALANCE ]]-Table1[[#This Row],[PRINCIPAL ]]-Table1[[#This Row],[EXTRA PAYMENT]]</f>
        <v>114178.11135481588</v>
      </c>
      <c r="Q208" s="5">
        <f>+Table1[[#This Row],[PRINCIPAL ]]+Table1[[#This Row],[EXTRA PAYMENT]]+Q207</f>
        <v>135821.88864518417</v>
      </c>
      <c r="R208" s="7">
        <f>+Table1[[#This Row],[INTEREST ]]+R207</f>
        <v>125674.61683631467</v>
      </c>
    </row>
    <row r="209" spans="1:18" x14ac:dyDescent="0.25">
      <c r="A209">
        <f t="shared" si="23"/>
        <v>206</v>
      </c>
      <c r="B209" s="1">
        <f t="shared" si="24"/>
        <v>46874</v>
      </c>
      <c r="C209" s="6">
        <f t="shared" si="25"/>
        <v>143181.22605542105</v>
      </c>
      <c r="D209" s="7">
        <f>PPMT(Inputs!$B$4/12,A209,Inputs!$B$5*12,-'Amortization Table'!$C$4)</f>
        <v>713.23666719521759</v>
      </c>
      <c r="E209" s="7">
        <f>IPMT(Inputs!$B$4/12,'Amortization Table'!A209,Inputs!$B$5*12,-'Amortization Table'!$C$4)</f>
        <v>462.35604247063065</v>
      </c>
      <c r="F209" s="7">
        <f t="shared" si="26"/>
        <v>1175.5927096658484</v>
      </c>
      <c r="G209" s="6">
        <f t="shared" si="27"/>
        <v>142467.98938822583</v>
      </c>
      <c r="H209" s="5">
        <f>+H208+Table1[[#This Row],[PRINCIPAL]]</f>
        <v>107532.01061177399</v>
      </c>
      <c r="I209" s="7">
        <f>Table1[[#This Row],[INTEREST]]+I208</f>
        <v>134640.08757939059</v>
      </c>
      <c r="J209" s="11"/>
      <c r="K209" s="7">
        <f t="shared" si="28"/>
        <v>114178.11135481588</v>
      </c>
      <c r="L209" s="7">
        <f>+References!$B$1-Table1[[#This Row],[INTEREST ]]</f>
        <v>806.89255841592194</v>
      </c>
      <c r="M209" s="5">
        <f>+Inputs!$B$11</f>
        <v>100</v>
      </c>
      <c r="N209" s="7">
        <f>+Table1[[#This Row],[BEGINNING BALANCE ]]*Inputs!$B$4/12</f>
        <v>368.70015124992625</v>
      </c>
      <c r="O209" s="7">
        <f>+SUM(Table1[[#This Row],[PRINCIPAL ]:[INTEREST ]])</f>
        <v>1275.5927096658481</v>
      </c>
      <c r="P209" s="7">
        <f>+Table1[[#This Row],[BEGINNING BALANCE ]]-Table1[[#This Row],[PRINCIPAL ]]-Table1[[#This Row],[EXTRA PAYMENT]]</f>
        <v>113271.21879639996</v>
      </c>
      <c r="Q209" s="5">
        <f>+Table1[[#This Row],[PRINCIPAL ]]+Table1[[#This Row],[EXTRA PAYMENT]]+Q208</f>
        <v>136728.78120360008</v>
      </c>
      <c r="R209" s="7">
        <f>+Table1[[#This Row],[INTEREST ]]+R208</f>
        <v>126043.3169875646</v>
      </c>
    </row>
    <row r="210" spans="1:18" x14ac:dyDescent="0.25">
      <c r="A210">
        <f t="shared" si="23"/>
        <v>207</v>
      </c>
      <c r="B210" s="1">
        <f t="shared" si="24"/>
        <v>46905</v>
      </c>
      <c r="C210" s="6">
        <f t="shared" si="25"/>
        <v>142467.98938822583</v>
      </c>
      <c r="D210" s="7">
        <f>PPMT(Inputs!$B$4/12,A210,Inputs!$B$5*12,-'Amortization Table'!$C$4)</f>
        <v>715.53982726636866</v>
      </c>
      <c r="E210" s="7">
        <f>IPMT(Inputs!$B$4/12,'Amortization Table'!A210,Inputs!$B$5*12,-'Amortization Table'!$C$4)</f>
        <v>460.05288239947936</v>
      </c>
      <c r="F210" s="7">
        <f t="shared" si="26"/>
        <v>1175.5927096658479</v>
      </c>
      <c r="G210" s="6">
        <f t="shared" si="27"/>
        <v>141752.44956095947</v>
      </c>
      <c r="H210" s="5">
        <f>+H209+Table1[[#This Row],[PRINCIPAL]]</f>
        <v>108247.55043904037</v>
      </c>
      <c r="I210" s="7">
        <f>Table1[[#This Row],[INTEREST]]+I209</f>
        <v>135100.14046179006</v>
      </c>
      <c r="J210" s="11"/>
      <c r="K210" s="7">
        <f t="shared" si="28"/>
        <v>113271.21879639996</v>
      </c>
      <c r="L210" s="7">
        <f>+References!$B$1-Table1[[#This Row],[INTEREST ]]</f>
        <v>809.82106563580669</v>
      </c>
      <c r="M210" s="5">
        <f>+Inputs!$B$11</f>
        <v>100</v>
      </c>
      <c r="N210" s="7">
        <f>+Table1[[#This Row],[BEGINNING BALANCE ]]*Inputs!$B$4/12</f>
        <v>365.7716440300415</v>
      </c>
      <c r="O210" s="7">
        <f>+SUM(Table1[[#This Row],[PRINCIPAL ]:[INTEREST ]])</f>
        <v>1275.5927096658481</v>
      </c>
      <c r="P210" s="7">
        <f>+Table1[[#This Row],[BEGINNING BALANCE ]]-Table1[[#This Row],[PRINCIPAL ]]-Table1[[#This Row],[EXTRA PAYMENT]]</f>
        <v>112361.39773076415</v>
      </c>
      <c r="Q210" s="5">
        <f>+Table1[[#This Row],[PRINCIPAL ]]+Table1[[#This Row],[EXTRA PAYMENT]]+Q209</f>
        <v>137638.60226923588</v>
      </c>
      <c r="R210" s="7">
        <f>+Table1[[#This Row],[INTEREST ]]+R209</f>
        <v>126409.08863159464</v>
      </c>
    </row>
    <row r="211" spans="1:18" x14ac:dyDescent="0.25">
      <c r="A211">
        <f t="shared" si="23"/>
        <v>208</v>
      </c>
      <c r="B211" s="1">
        <f t="shared" si="24"/>
        <v>46935</v>
      </c>
      <c r="C211" s="6">
        <f t="shared" si="25"/>
        <v>141752.44956095947</v>
      </c>
      <c r="D211" s="7">
        <f>PPMT(Inputs!$B$4/12,A211,Inputs!$B$5*12,-'Amortization Table'!$C$4)</f>
        <v>717.85042462524973</v>
      </c>
      <c r="E211" s="7">
        <f>IPMT(Inputs!$B$4/12,'Amortization Table'!A211,Inputs!$B$5*12,-'Amortization Table'!$C$4)</f>
        <v>457.7422850405984</v>
      </c>
      <c r="F211" s="7">
        <f t="shared" si="26"/>
        <v>1175.5927096658481</v>
      </c>
      <c r="G211" s="6">
        <f t="shared" si="27"/>
        <v>141034.59913633423</v>
      </c>
      <c r="H211" s="5">
        <f>+H210+Table1[[#This Row],[PRINCIPAL]]</f>
        <v>108965.40086366562</v>
      </c>
      <c r="I211" s="7">
        <f>Table1[[#This Row],[INTEREST]]+I210</f>
        <v>135557.88274683064</v>
      </c>
      <c r="J211" s="11"/>
      <c r="K211" s="7">
        <f t="shared" si="28"/>
        <v>112361.39773076415</v>
      </c>
      <c r="L211" s="7">
        <f>+References!$B$1-Table1[[#This Row],[INTEREST ]]</f>
        <v>812.75902949358897</v>
      </c>
      <c r="M211" s="5">
        <f>+Inputs!$B$11</f>
        <v>100</v>
      </c>
      <c r="N211" s="7">
        <f>+Table1[[#This Row],[BEGINNING BALANCE ]]*Inputs!$B$4/12</f>
        <v>362.83368017225922</v>
      </c>
      <c r="O211" s="7">
        <f>+SUM(Table1[[#This Row],[PRINCIPAL ]:[INTEREST ]])</f>
        <v>1275.5927096658481</v>
      </c>
      <c r="P211" s="7">
        <f>+Table1[[#This Row],[BEGINNING BALANCE ]]-Table1[[#This Row],[PRINCIPAL ]]-Table1[[#This Row],[EXTRA PAYMENT]]</f>
        <v>111448.63870127055</v>
      </c>
      <c r="Q211" s="5">
        <f>+Table1[[#This Row],[PRINCIPAL ]]+Table1[[#This Row],[EXTRA PAYMENT]]+Q210</f>
        <v>138551.36129872946</v>
      </c>
      <c r="R211" s="7">
        <f>+Table1[[#This Row],[INTEREST ]]+R210</f>
        <v>126771.9223117669</v>
      </c>
    </row>
    <row r="212" spans="1:18" x14ac:dyDescent="0.25">
      <c r="A212">
        <f t="shared" si="23"/>
        <v>209</v>
      </c>
      <c r="B212" s="1">
        <f t="shared" si="24"/>
        <v>46966</v>
      </c>
      <c r="C212" s="6">
        <f t="shared" si="25"/>
        <v>141034.59913633423</v>
      </c>
      <c r="D212" s="7">
        <f>PPMT(Inputs!$B$4/12,A212,Inputs!$B$5*12,-'Amortization Table'!$C$4)</f>
        <v>720.16848328810215</v>
      </c>
      <c r="E212" s="7">
        <f>IPMT(Inputs!$B$4/12,'Amortization Table'!A212,Inputs!$B$5*12,-'Amortization Table'!$C$4)</f>
        <v>455.42422637774604</v>
      </c>
      <c r="F212" s="7">
        <f t="shared" si="26"/>
        <v>1175.5927096658481</v>
      </c>
      <c r="G212" s="6">
        <f t="shared" si="27"/>
        <v>140314.43065304612</v>
      </c>
      <c r="H212" s="5">
        <f>+H211+Table1[[#This Row],[PRINCIPAL]]</f>
        <v>109685.56934695372</v>
      </c>
      <c r="I212" s="7">
        <f>Table1[[#This Row],[INTEREST]]+I211</f>
        <v>136013.30697320838</v>
      </c>
      <c r="J212" s="11"/>
      <c r="K212" s="7">
        <f t="shared" si="28"/>
        <v>111448.63870127055</v>
      </c>
      <c r="L212" s="7">
        <f>+References!$B$1-Table1[[#This Row],[INTEREST ]]</f>
        <v>815.70648052632873</v>
      </c>
      <c r="M212" s="5">
        <f>+Inputs!$B$11</f>
        <v>100</v>
      </c>
      <c r="N212" s="7">
        <f>+Table1[[#This Row],[BEGINNING BALANCE ]]*Inputs!$B$4/12</f>
        <v>359.88622913951946</v>
      </c>
      <c r="O212" s="7">
        <f>+SUM(Table1[[#This Row],[PRINCIPAL ]:[INTEREST ]])</f>
        <v>1275.5927096658481</v>
      </c>
      <c r="P212" s="7">
        <f>+Table1[[#This Row],[BEGINNING BALANCE ]]-Table1[[#This Row],[PRINCIPAL ]]-Table1[[#This Row],[EXTRA PAYMENT]]</f>
        <v>110532.93222074423</v>
      </c>
      <c r="Q212" s="5">
        <f>+Table1[[#This Row],[PRINCIPAL ]]+Table1[[#This Row],[EXTRA PAYMENT]]+Q211</f>
        <v>139467.0677792558</v>
      </c>
      <c r="R212" s="7">
        <f>+Table1[[#This Row],[INTEREST ]]+R211</f>
        <v>127131.80854090642</v>
      </c>
    </row>
    <row r="213" spans="1:18" x14ac:dyDescent="0.25">
      <c r="A213">
        <f t="shared" si="23"/>
        <v>210</v>
      </c>
      <c r="B213" s="1">
        <f t="shared" si="24"/>
        <v>46997</v>
      </c>
      <c r="C213" s="6">
        <f t="shared" si="25"/>
        <v>140314.43065304612</v>
      </c>
      <c r="D213" s="7">
        <f>PPMT(Inputs!$B$4/12,A213,Inputs!$B$5*12,-'Amortization Table'!$C$4)</f>
        <v>722.4940273487199</v>
      </c>
      <c r="E213" s="7">
        <f>IPMT(Inputs!$B$4/12,'Amortization Table'!A213,Inputs!$B$5*12,-'Amortization Table'!$C$4)</f>
        <v>453.09868231712818</v>
      </c>
      <c r="F213" s="7">
        <f t="shared" si="26"/>
        <v>1175.5927096658481</v>
      </c>
      <c r="G213" s="6">
        <f t="shared" si="27"/>
        <v>139591.93662569739</v>
      </c>
      <c r="H213" s="5">
        <f>+H212+Table1[[#This Row],[PRINCIPAL]]</f>
        <v>110408.06337430244</v>
      </c>
      <c r="I213" s="7">
        <f>Table1[[#This Row],[INTEREST]]+I212</f>
        <v>136466.40565552551</v>
      </c>
      <c r="J213" s="11"/>
      <c r="K213" s="7">
        <f t="shared" si="28"/>
        <v>110532.93222074423</v>
      </c>
      <c r="L213" s="7">
        <f>+References!$B$1-Table1[[#This Row],[INTEREST ]]</f>
        <v>818.66344936969494</v>
      </c>
      <c r="M213" s="5">
        <f>+Inputs!$B$11</f>
        <v>100</v>
      </c>
      <c r="N213" s="7">
        <f>+Table1[[#This Row],[BEGINNING BALANCE ]]*Inputs!$B$4/12</f>
        <v>356.92926029615325</v>
      </c>
      <c r="O213" s="7">
        <f>+SUM(Table1[[#This Row],[PRINCIPAL ]:[INTEREST ]])</f>
        <v>1275.5927096658481</v>
      </c>
      <c r="P213" s="7">
        <f>+Table1[[#This Row],[BEGINNING BALANCE ]]-Table1[[#This Row],[PRINCIPAL ]]-Table1[[#This Row],[EXTRA PAYMENT]]</f>
        <v>109614.26877137454</v>
      </c>
      <c r="Q213" s="5">
        <f>+Table1[[#This Row],[PRINCIPAL ]]+Table1[[#This Row],[EXTRA PAYMENT]]+Q212</f>
        <v>140385.73122862549</v>
      </c>
      <c r="R213" s="7">
        <f>+Table1[[#This Row],[INTEREST ]]+R212</f>
        <v>127488.73780120257</v>
      </c>
    </row>
    <row r="214" spans="1:18" x14ac:dyDescent="0.25">
      <c r="A214">
        <f t="shared" si="23"/>
        <v>211</v>
      </c>
      <c r="B214" s="1">
        <f t="shared" si="24"/>
        <v>47027</v>
      </c>
      <c r="C214" s="6">
        <f t="shared" si="25"/>
        <v>139591.93662569739</v>
      </c>
      <c r="D214" s="7">
        <f>PPMT(Inputs!$B$4/12,A214,Inputs!$B$5*12,-'Amortization Table'!$C$4)</f>
        <v>724.82708097870022</v>
      </c>
      <c r="E214" s="7">
        <f>IPMT(Inputs!$B$4/12,'Amortization Table'!A214,Inputs!$B$5*12,-'Amortization Table'!$C$4)</f>
        <v>450.76562868714802</v>
      </c>
      <c r="F214" s="7">
        <f t="shared" si="26"/>
        <v>1175.5927096658484</v>
      </c>
      <c r="G214" s="6">
        <f t="shared" si="27"/>
        <v>138867.1095447187</v>
      </c>
      <c r="H214" s="5">
        <f>+H213+Table1[[#This Row],[PRINCIPAL]]</f>
        <v>111132.89045528114</v>
      </c>
      <c r="I214" s="7">
        <f>Table1[[#This Row],[INTEREST]]+I213</f>
        <v>136917.17128421264</v>
      </c>
      <c r="J214" s="11"/>
      <c r="K214" s="7">
        <f t="shared" si="28"/>
        <v>109614.26877137454</v>
      </c>
      <c r="L214" s="7">
        <f>+References!$B$1-Table1[[#This Row],[INTEREST ]]</f>
        <v>821.62996675828458</v>
      </c>
      <c r="M214" s="5">
        <f>+Inputs!$B$11</f>
        <v>100</v>
      </c>
      <c r="N214" s="7">
        <f>+Table1[[#This Row],[BEGINNING BALANCE ]]*Inputs!$B$4/12</f>
        <v>353.96274290756361</v>
      </c>
      <c r="O214" s="7">
        <f>+SUM(Table1[[#This Row],[PRINCIPAL ]:[INTEREST ]])</f>
        <v>1275.5927096658481</v>
      </c>
      <c r="P214" s="7">
        <f>+Table1[[#This Row],[BEGINNING BALANCE ]]-Table1[[#This Row],[PRINCIPAL ]]-Table1[[#This Row],[EXTRA PAYMENT]]</f>
        <v>108692.63880461626</v>
      </c>
      <c r="Q214" s="5">
        <f>+Table1[[#This Row],[PRINCIPAL ]]+Table1[[#This Row],[EXTRA PAYMENT]]+Q213</f>
        <v>141307.36119538377</v>
      </c>
      <c r="R214" s="7">
        <f>+Table1[[#This Row],[INTEREST ]]+R213</f>
        <v>127842.70054411014</v>
      </c>
    </row>
    <row r="215" spans="1:18" x14ac:dyDescent="0.25">
      <c r="A215">
        <f t="shared" si="23"/>
        <v>212</v>
      </c>
      <c r="B215" s="1">
        <f t="shared" si="24"/>
        <v>47058</v>
      </c>
      <c r="C215" s="6">
        <f t="shared" si="25"/>
        <v>138867.1095447187</v>
      </c>
      <c r="D215" s="7">
        <f>PPMT(Inputs!$B$4/12,A215,Inputs!$B$5*12,-'Amortization Table'!$C$4)</f>
        <v>727.1676684276938</v>
      </c>
      <c r="E215" s="7">
        <f>IPMT(Inputs!$B$4/12,'Amortization Table'!A215,Inputs!$B$5*12,-'Amortization Table'!$C$4)</f>
        <v>448.42504123815434</v>
      </c>
      <c r="F215" s="7">
        <f t="shared" si="26"/>
        <v>1175.5927096658481</v>
      </c>
      <c r="G215" s="6">
        <f t="shared" si="27"/>
        <v>138139.94187629101</v>
      </c>
      <c r="H215" s="5">
        <f>+H214+Table1[[#This Row],[PRINCIPAL]]</f>
        <v>111860.05812370883</v>
      </c>
      <c r="I215" s="7">
        <f>Table1[[#This Row],[INTEREST]]+I214</f>
        <v>137365.59632545081</v>
      </c>
      <c r="J215" s="11"/>
      <c r="K215" s="7">
        <f t="shared" si="28"/>
        <v>108692.63880461626</v>
      </c>
      <c r="L215" s="7">
        <f>+References!$B$1-Table1[[#This Row],[INTEREST ]]</f>
        <v>824.60606352594141</v>
      </c>
      <c r="M215" s="5">
        <f>+Inputs!$B$11</f>
        <v>100</v>
      </c>
      <c r="N215" s="7">
        <f>+Table1[[#This Row],[BEGINNING BALANCE ]]*Inputs!$B$4/12</f>
        <v>350.98664613990667</v>
      </c>
      <c r="O215" s="7">
        <f>+SUM(Table1[[#This Row],[PRINCIPAL ]:[INTEREST ]])</f>
        <v>1275.5927096658481</v>
      </c>
      <c r="P215" s="7">
        <f>+Table1[[#This Row],[BEGINNING BALANCE ]]-Table1[[#This Row],[PRINCIPAL ]]-Table1[[#This Row],[EXTRA PAYMENT]]</f>
        <v>107768.03274109033</v>
      </c>
      <c r="Q215" s="5">
        <f>+Table1[[#This Row],[PRINCIPAL ]]+Table1[[#This Row],[EXTRA PAYMENT]]+Q214</f>
        <v>142231.96725890972</v>
      </c>
      <c r="R215" s="7">
        <f>+Table1[[#This Row],[INTEREST ]]+R214</f>
        <v>128193.68719025004</v>
      </c>
    </row>
    <row r="216" spans="1:18" x14ac:dyDescent="0.25">
      <c r="A216">
        <f t="shared" si="23"/>
        <v>213</v>
      </c>
      <c r="B216" s="1">
        <f t="shared" si="24"/>
        <v>47088</v>
      </c>
      <c r="C216" s="6">
        <f t="shared" si="25"/>
        <v>138139.94187629101</v>
      </c>
      <c r="D216" s="7">
        <f>PPMT(Inputs!$B$4/12,A216,Inputs!$B$5*12,-'Amortization Table'!$C$4)</f>
        <v>729.51581402365832</v>
      </c>
      <c r="E216" s="7">
        <f>IPMT(Inputs!$B$4/12,'Amortization Table'!A216,Inputs!$B$5*12,-'Amortization Table'!$C$4)</f>
        <v>446.07689564218987</v>
      </c>
      <c r="F216" s="7">
        <f t="shared" si="26"/>
        <v>1175.5927096658481</v>
      </c>
      <c r="G216" s="6">
        <f t="shared" si="27"/>
        <v>137410.42606226736</v>
      </c>
      <c r="H216" s="5">
        <f>+H215+Table1[[#This Row],[PRINCIPAL]]</f>
        <v>112589.57393773249</v>
      </c>
      <c r="I216" s="7">
        <f>Table1[[#This Row],[INTEREST]]+I215</f>
        <v>137811.67322109299</v>
      </c>
      <c r="J216" s="11"/>
      <c r="K216" s="7">
        <f t="shared" si="28"/>
        <v>107768.03274109033</v>
      </c>
      <c r="L216" s="7">
        <f>+References!$B$1-Table1[[#This Row],[INTEREST ]]</f>
        <v>827.59177060607726</v>
      </c>
      <c r="M216" s="5">
        <f>+Inputs!$B$11</f>
        <v>100</v>
      </c>
      <c r="N216" s="7">
        <f>+Table1[[#This Row],[BEGINNING BALANCE ]]*Inputs!$B$4/12</f>
        <v>348.00093905977087</v>
      </c>
      <c r="O216" s="7">
        <f>+SUM(Table1[[#This Row],[PRINCIPAL ]:[INTEREST ]])</f>
        <v>1275.5927096658481</v>
      </c>
      <c r="P216" s="7">
        <f>+Table1[[#This Row],[BEGINNING BALANCE ]]-Table1[[#This Row],[PRINCIPAL ]]-Table1[[#This Row],[EXTRA PAYMENT]]</f>
        <v>106840.44097048425</v>
      </c>
      <c r="Q216" s="5">
        <f>+Table1[[#This Row],[PRINCIPAL ]]+Table1[[#This Row],[EXTRA PAYMENT]]+Q215</f>
        <v>143159.5590295158</v>
      </c>
      <c r="R216" s="7">
        <f>+Table1[[#This Row],[INTEREST ]]+R215</f>
        <v>128541.68812930981</v>
      </c>
    </row>
    <row r="217" spans="1:18" x14ac:dyDescent="0.25">
      <c r="A217">
        <f t="shared" si="23"/>
        <v>214</v>
      </c>
      <c r="B217" s="1">
        <f t="shared" si="24"/>
        <v>47119</v>
      </c>
      <c r="C217" s="6">
        <f t="shared" si="25"/>
        <v>137410.42606226736</v>
      </c>
      <c r="D217" s="7">
        <f>PPMT(Inputs!$B$4/12,A217,Inputs!$B$5*12,-'Amortization Table'!$C$4)</f>
        <v>731.87154217310967</v>
      </c>
      <c r="E217" s="7">
        <f>IPMT(Inputs!$B$4/12,'Amortization Table'!A217,Inputs!$B$5*12,-'Amortization Table'!$C$4)</f>
        <v>443.72116749273846</v>
      </c>
      <c r="F217" s="7">
        <f t="shared" si="26"/>
        <v>1175.5927096658481</v>
      </c>
      <c r="G217" s="6">
        <f t="shared" si="27"/>
        <v>136678.55452009424</v>
      </c>
      <c r="H217" s="5">
        <f>+H216+Table1[[#This Row],[PRINCIPAL]]</f>
        <v>113321.4454799056</v>
      </c>
      <c r="I217" s="7">
        <f>Table1[[#This Row],[INTEREST]]+I216</f>
        <v>138255.39438858573</v>
      </c>
      <c r="J217" s="11"/>
      <c r="K217" s="7">
        <f t="shared" si="28"/>
        <v>106840.44097048425</v>
      </c>
      <c r="L217" s="7">
        <f>+References!$B$1-Table1[[#This Row],[INTEREST ]]</f>
        <v>830.58711903199264</v>
      </c>
      <c r="M217" s="5">
        <f>+Inputs!$B$11</f>
        <v>100</v>
      </c>
      <c r="N217" s="7">
        <f>+Table1[[#This Row],[BEGINNING BALANCE ]]*Inputs!$B$4/12</f>
        <v>345.00559063385543</v>
      </c>
      <c r="O217" s="7">
        <f>+SUM(Table1[[#This Row],[PRINCIPAL ]:[INTEREST ]])</f>
        <v>1275.5927096658481</v>
      </c>
      <c r="P217" s="7">
        <f>+Table1[[#This Row],[BEGINNING BALANCE ]]-Table1[[#This Row],[PRINCIPAL ]]-Table1[[#This Row],[EXTRA PAYMENT]]</f>
        <v>105909.85385145227</v>
      </c>
      <c r="Q217" s="5">
        <f>+Table1[[#This Row],[PRINCIPAL ]]+Table1[[#This Row],[EXTRA PAYMENT]]+Q216</f>
        <v>144090.14614854779</v>
      </c>
      <c r="R217" s="7">
        <f>+Table1[[#This Row],[INTEREST ]]+R216</f>
        <v>128886.69371994367</v>
      </c>
    </row>
    <row r="218" spans="1:18" x14ac:dyDescent="0.25">
      <c r="A218">
        <f t="shared" si="23"/>
        <v>215</v>
      </c>
      <c r="B218" s="1">
        <f t="shared" si="24"/>
        <v>47150</v>
      </c>
      <c r="C218" s="6">
        <f t="shared" si="25"/>
        <v>136678.55452009424</v>
      </c>
      <c r="D218" s="7">
        <f>PPMT(Inputs!$B$4/12,A218,Inputs!$B$5*12,-'Amortization Table'!$C$4)</f>
        <v>734.23487736137702</v>
      </c>
      <c r="E218" s="7">
        <f>IPMT(Inputs!$B$4/12,'Amortization Table'!A218,Inputs!$B$5*12,-'Amortization Table'!$C$4)</f>
        <v>441.35783230447117</v>
      </c>
      <c r="F218" s="7">
        <f t="shared" si="26"/>
        <v>1175.5927096658481</v>
      </c>
      <c r="G218" s="6">
        <f t="shared" si="27"/>
        <v>135944.31964273288</v>
      </c>
      <c r="H218" s="5">
        <f>+H217+Table1[[#This Row],[PRINCIPAL]]</f>
        <v>114055.68035726697</v>
      </c>
      <c r="I218" s="7">
        <f>Table1[[#This Row],[INTEREST]]+I217</f>
        <v>138696.75222089019</v>
      </c>
      <c r="J218" s="11"/>
      <c r="K218" s="7">
        <f t="shared" si="28"/>
        <v>105909.85385145227</v>
      </c>
      <c r="L218" s="7">
        <f>+References!$B$1-Table1[[#This Row],[INTEREST ]]</f>
        <v>833.59213993720027</v>
      </c>
      <c r="M218" s="5">
        <f>+Inputs!$B$11</f>
        <v>100</v>
      </c>
      <c r="N218" s="7">
        <f>+Table1[[#This Row],[BEGINNING BALANCE ]]*Inputs!$B$4/12</f>
        <v>342.00056972864792</v>
      </c>
      <c r="O218" s="7">
        <f>+SUM(Table1[[#This Row],[PRINCIPAL ]:[INTEREST ]])</f>
        <v>1275.5927096658481</v>
      </c>
      <c r="P218" s="7">
        <f>+Table1[[#This Row],[BEGINNING BALANCE ]]-Table1[[#This Row],[PRINCIPAL ]]-Table1[[#This Row],[EXTRA PAYMENT]]</f>
        <v>104976.26171151506</v>
      </c>
      <c r="Q218" s="5">
        <f>+Table1[[#This Row],[PRINCIPAL ]]+Table1[[#This Row],[EXTRA PAYMENT]]+Q217</f>
        <v>145023.73828848498</v>
      </c>
      <c r="R218" s="7">
        <f>+Table1[[#This Row],[INTEREST ]]+R217</f>
        <v>129228.69428967232</v>
      </c>
    </row>
    <row r="219" spans="1:18" x14ac:dyDescent="0.25">
      <c r="A219">
        <f t="shared" si="23"/>
        <v>216</v>
      </c>
      <c r="B219" s="1">
        <f t="shared" si="24"/>
        <v>47178</v>
      </c>
      <c r="C219" s="6">
        <f t="shared" si="25"/>
        <v>135944.31964273288</v>
      </c>
      <c r="D219" s="7">
        <f>PPMT(Inputs!$B$4/12,A219,Inputs!$B$5*12,-'Amortization Table'!$C$4)</f>
        <v>736.60584415285643</v>
      </c>
      <c r="E219" s="7">
        <f>IPMT(Inputs!$B$4/12,'Amortization Table'!A219,Inputs!$B$5*12,-'Amortization Table'!$C$4)</f>
        <v>438.9868655129917</v>
      </c>
      <c r="F219" s="7">
        <f t="shared" si="26"/>
        <v>1175.5927096658481</v>
      </c>
      <c r="G219" s="6">
        <f t="shared" si="27"/>
        <v>135207.71379858002</v>
      </c>
      <c r="H219" s="5">
        <f>+H218+Table1[[#This Row],[PRINCIPAL]]</f>
        <v>114792.28620141983</v>
      </c>
      <c r="I219" s="7">
        <f>Table1[[#This Row],[INTEREST]]+I218</f>
        <v>139135.73908640319</v>
      </c>
      <c r="J219" s="11"/>
      <c r="K219" s="7">
        <f t="shared" si="28"/>
        <v>104976.26171151506</v>
      </c>
      <c r="L219" s="7">
        <f>+References!$B$1-Table1[[#This Row],[INTEREST ]]</f>
        <v>836.60686455574739</v>
      </c>
      <c r="M219" s="5">
        <f>+Inputs!$B$11</f>
        <v>100</v>
      </c>
      <c r="N219" s="7">
        <f>+Table1[[#This Row],[BEGINNING BALANCE ]]*Inputs!$B$4/12</f>
        <v>338.98584511010074</v>
      </c>
      <c r="O219" s="7">
        <f>+SUM(Table1[[#This Row],[PRINCIPAL ]:[INTEREST ]])</f>
        <v>1275.5927096658481</v>
      </c>
      <c r="P219" s="7">
        <f>+Table1[[#This Row],[BEGINNING BALANCE ]]-Table1[[#This Row],[PRINCIPAL ]]-Table1[[#This Row],[EXTRA PAYMENT]]</f>
        <v>104039.65484695931</v>
      </c>
      <c r="Q219" s="5">
        <f>+Table1[[#This Row],[PRINCIPAL ]]+Table1[[#This Row],[EXTRA PAYMENT]]+Q218</f>
        <v>145960.34515304072</v>
      </c>
      <c r="R219" s="7">
        <f>+Table1[[#This Row],[INTEREST ]]+R218</f>
        <v>129567.68013478242</v>
      </c>
    </row>
    <row r="220" spans="1:18" x14ac:dyDescent="0.25">
      <c r="A220">
        <f t="shared" si="23"/>
        <v>217</v>
      </c>
      <c r="B220" s="1">
        <f t="shared" si="24"/>
        <v>47209</v>
      </c>
      <c r="C220" s="6">
        <f t="shared" si="25"/>
        <v>135207.71379858002</v>
      </c>
      <c r="D220" s="7">
        <f>PPMT(Inputs!$B$4/12,A220,Inputs!$B$5*12,-'Amortization Table'!$C$4)</f>
        <v>738.98446719126673</v>
      </c>
      <c r="E220" s="7">
        <f>IPMT(Inputs!$B$4/12,'Amortization Table'!A220,Inputs!$B$5*12,-'Amortization Table'!$C$4)</f>
        <v>436.6082424745814</v>
      </c>
      <c r="F220" s="7">
        <f t="shared" si="26"/>
        <v>1175.5927096658481</v>
      </c>
      <c r="G220" s="6">
        <f t="shared" si="27"/>
        <v>134468.72933138875</v>
      </c>
      <c r="H220" s="5">
        <f>+H219+Table1[[#This Row],[PRINCIPAL]]</f>
        <v>115531.27066861111</v>
      </c>
      <c r="I220" s="7">
        <f>Table1[[#This Row],[INTEREST]]+I219</f>
        <v>139572.34732887777</v>
      </c>
      <c r="J220" s="11"/>
      <c r="K220" s="7">
        <f t="shared" si="28"/>
        <v>104039.65484695931</v>
      </c>
      <c r="L220" s="7">
        <f>+References!$B$1-Table1[[#This Row],[INTEREST ]]</f>
        <v>839.63132422254193</v>
      </c>
      <c r="M220" s="5">
        <f>+Inputs!$B$11</f>
        <v>100</v>
      </c>
      <c r="N220" s="7">
        <f>+Table1[[#This Row],[BEGINNING BALANCE ]]*Inputs!$B$4/12</f>
        <v>335.96138544330614</v>
      </c>
      <c r="O220" s="7">
        <f>+SUM(Table1[[#This Row],[PRINCIPAL ]:[INTEREST ]])</f>
        <v>1275.5927096658481</v>
      </c>
      <c r="P220" s="7">
        <f>+Table1[[#This Row],[BEGINNING BALANCE ]]-Table1[[#This Row],[PRINCIPAL ]]-Table1[[#This Row],[EXTRA PAYMENT]]</f>
        <v>103100.02352273677</v>
      </c>
      <c r="Q220" s="5">
        <f>+Table1[[#This Row],[PRINCIPAL ]]+Table1[[#This Row],[EXTRA PAYMENT]]+Q219</f>
        <v>146899.97647726326</v>
      </c>
      <c r="R220" s="7">
        <f>+Table1[[#This Row],[INTEREST ]]+R219</f>
        <v>129903.64152022573</v>
      </c>
    </row>
    <row r="221" spans="1:18" x14ac:dyDescent="0.25">
      <c r="A221">
        <f t="shared" si="23"/>
        <v>218</v>
      </c>
      <c r="B221" s="1">
        <f t="shared" si="24"/>
        <v>47239</v>
      </c>
      <c r="C221" s="6">
        <f t="shared" si="25"/>
        <v>134468.72933138875</v>
      </c>
      <c r="D221" s="7">
        <f>PPMT(Inputs!$B$4/12,A221,Inputs!$B$5*12,-'Amortization Table'!$C$4)</f>
        <v>741.37077119990511</v>
      </c>
      <c r="E221" s="7">
        <f>IPMT(Inputs!$B$4/12,'Amortization Table'!A221,Inputs!$B$5*12,-'Amortization Table'!$C$4)</f>
        <v>434.22193846594291</v>
      </c>
      <c r="F221" s="7">
        <f t="shared" si="26"/>
        <v>1175.5927096658479</v>
      </c>
      <c r="G221" s="6">
        <f t="shared" si="27"/>
        <v>133727.35856018885</v>
      </c>
      <c r="H221" s="5">
        <f>+H220+Table1[[#This Row],[PRINCIPAL]]</f>
        <v>116272.64143981101</v>
      </c>
      <c r="I221" s="7">
        <f>Table1[[#This Row],[INTEREST]]+I220</f>
        <v>140006.56926734373</v>
      </c>
      <c r="J221" s="11"/>
      <c r="K221" s="7">
        <f t="shared" si="28"/>
        <v>103100.02352273677</v>
      </c>
      <c r="L221" s="7">
        <f>+References!$B$1-Table1[[#This Row],[INTEREST ]]</f>
        <v>842.66555037367732</v>
      </c>
      <c r="M221" s="5">
        <f>+Inputs!$B$11</f>
        <v>100</v>
      </c>
      <c r="N221" s="7">
        <f>+Table1[[#This Row],[BEGINNING BALANCE ]]*Inputs!$B$4/12</f>
        <v>332.92715929217081</v>
      </c>
      <c r="O221" s="7">
        <f>+SUM(Table1[[#This Row],[PRINCIPAL ]:[INTEREST ]])</f>
        <v>1275.5927096658481</v>
      </c>
      <c r="P221" s="7">
        <f>+Table1[[#This Row],[BEGINNING BALANCE ]]-Table1[[#This Row],[PRINCIPAL ]]-Table1[[#This Row],[EXTRA PAYMENT]]</f>
        <v>102157.35797236308</v>
      </c>
      <c r="Q221" s="5">
        <f>+Table1[[#This Row],[PRINCIPAL ]]+Table1[[#This Row],[EXTRA PAYMENT]]+Q220</f>
        <v>147842.64202763693</v>
      </c>
      <c r="R221" s="7">
        <f>+Table1[[#This Row],[INTEREST ]]+R220</f>
        <v>130236.56867951791</v>
      </c>
    </row>
    <row r="222" spans="1:18" x14ac:dyDescent="0.25">
      <c r="A222">
        <f t="shared" si="23"/>
        <v>219</v>
      </c>
      <c r="B222" s="1">
        <f t="shared" si="24"/>
        <v>47270</v>
      </c>
      <c r="C222" s="6">
        <f t="shared" si="25"/>
        <v>133727.35856018885</v>
      </c>
      <c r="D222" s="7">
        <f>PPMT(Inputs!$B$4/12,A222,Inputs!$B$5*12,-'Amortization Table'!$C$4)</f>
        <v>743.76478098190478</v>
      </c>
      <c r="E222" s="7">
        <f>IPMT(Inputs!$B$4/12,'Amortization Table'!A222,Inputs!$B$5*12,-'Amortization Table'!$C$4)</f>
        <v>431.82792868394313</v>
      </c>
      <c r="F222" s="7">
        <f t="shared" si="26"/>
        <v>1175.5927096658479</v>
      </c>
      <c r="G222" s="6">
        <f t="shared" si="27"/>
        <v>132983.59377920695</v>
      </c>
      <c r="H222" s="5">
        <f>+H221+Table1[[#This Row],[PRINCIPAL]]</f>
        <v>117016.40622079291</v>
      </c>
      <c r="I222" s="7">
        <f>Table1[[#This Row],[INTEREST]]+I221</f>
        <v>140438.39719602768</v>
      </c>
      <c r="J222" s="11"/>
      <c r="K222" s="7">
        <f t="shared" si="28"/>
        <v>102157.35797236308</v>
      </c>
      <c r="L222" s="7">
        <f>+References!$B$1-Table1[[#This Row],[INTEREST ]]</f>
        <v>845.70957454675909</v>
      </c>
      <c r="M222" s="5">
        <f>+Inputs!$B$11</f>
        <v>100</v>
      </c>
      <c r="N222" s="7">
        <f>+Table1[[#This Row],[BEGINNING BALANCE ]]*Inputs!$B$4/12</f>
        <v>329.8831351190891</v>
      </c>
      <c r="O222" s="7">
        <f>+SUM(Table1[[#This Row],[PRINCIPAL ]:[INTEREST ]])</f>
        <v>1275.5927096658481</v>
      </c>
      <c r="P222" s="7">
        <f>+Table1[[#This Row],[BEGINNING BALANCE ]]-Table1[[#This Row],[PRINCIPAL ]]-Table1[[#This Row],[EXTRA PAYMENT]]</f>
        <v>101211.64839781633</v>
      </c>
      <c r="Q222" s="5">
        <f>+Table1[[#This Row],[PRINCIPAL ]]+Table1[[#This Row],[EXTRA PAYMENT]]+Q221</f>
        <v>148788.35160218368</v>
      </c>
      <c r="R222" s="7">
        <f>+Table1[[#This Row],[INTEREST ]]+R221</f>
        <v>130566.451814637</v>
      </c>
    </row>
    <row r="223" spans="1:18" x14ac:dyDescent="0.25">
      <c r="A223">
        <f t="shared" si="23"/>
        <v>220</v>
      </c>
      <c r="B223" s="1">
        <f t="shared" si="24"/>
        <v>47300</v>
      </c>
      <c r="C223" s="6">
        <f t="shared" si="25"/>
        <v>132983.59377920695</v>
      </c>
      <c r="D223" s="7">
        <f>PPMT(Inputs!$B$4/12,A223,Inputs!$B$5*12,-'Amortization Table'!$C$4)</f>
        <v>746.16652142049224</v>
      </c>
      <c r="E223" s="7">
        <f>IPMT(Inputs!$B$4/12,'Amortization Table'!A223,Inputs!$B$5*12,-'Amortization Table'!$C$4)</f>
        <v>429.42618824535583</v>
      </c>
      <c r="F223" s="7">
        <f t="shared" si="26"/>
        <v>1175.5927096658481</v>
      </c>
      <c r="G223" s="6">
        <f t="shared" si="27"/>
        <v>132237.42725778645</v>
      </c>
      <c r="H223" s="5">
        <f>+H222+Table1[[#This Row],[PRINCIPAL]]</f>
        <v>117762.57274221341</v>
      </c>
      <c r="I223" s="7">
        <f>Table1[[#This Row],[INTEREST]]+I222</f>
        <v>140867.82338427304</v>
      </c>
      <c r="J223" s="11"/>
      <c r="K223" s="7">
        <f t="shared" si="28"/>
        <v>101211.64839781633</v>
      </c>
      <c r="L223" s="7">
        <f>+References!$B$1-Table1[[#This Row],[INTEREST ]]</f>
        <v>848.76342838123287</v>
      </c>
      <c r="M223" s="5">
        <f>+Inputs!$B$11</f>
        <v>100</v>
      </c>
      <c r="N223" s="7">
        <f>+Table1[[#This Row],[BEGINNING BALANCE ]]*Inputs!$B$4/12</f>
        <v>326.82928128461521</v>
      </c>
      <c r="O223" s="7">
        <f>+SUM(Table1[[#This Row],[PRINCIPAL ]:[INTEREST ]])</f>
        <v>1275.5927096658481</v>
      </c>
      <c r="P223" s="7">
        <f>+Table1[[#This Row],[BEGINNING BALANCE ]]-Table1[[#This Row],[PRINCIPAL ]]-Table1[[#This Row],[EXTRA PAYMENT]]</f>
        <v>100262.88496943509</v>
      </c>
      <c r="Q223" s="5">
        <f>+Table1[[#This Row],[PRINCIPAL ]]+Table1[[#This Row],[EXTRA PAYMENT]]+Q222</f>
        <v>149737.11503056492</v>
      </c>
      <c r="R223" s="7">
        <f>+Table1[[#This Row],[INTEREST ]]+R222</f>
        <v>130893.28109592161</v>
      </c>
    </row>
    <row r="224" spans="1:18" x14ac:dyDescent="0.25">
      <c r="A224">
        <f t="shared" si="23"/>
        <v>221</v>
      </c>
      <c r="B224" s="1">
        <f t="shared" si="24"/>
        <v>47331</v>
      </c>
      <c r="C224" s="6">
        <f t="shared" si="25"/>
        <v>132237.42725778645</v>
      </c>
      <c r="D224" s="7">
        <f>PPMT(Inputs!$B$4/12,A224,Inputs!$B$5*12,-'Amortization Table'!$C$4)</f>
        <v>748.57601747924593</v>
      </c>
      <c r="E224" s="7">
        <f>IPMT(Inputs!$B$4/12,'Amortization Table'!A224,Inputs!$B$5*12,-'Amortization Table'!$C$4)</f>
        <v>427.01669218660226</v>
      </c>
      <c r="F224" s="7">
        <f t="shared" si="26"/>
        <v>1175.5927096658481</v>
      </c>
      <c r="G224" s="6">
        <f t="shared" si="27"/>
        <v>131488.85124030721</v>
      </c>
      <c r="H224" s="5">
        <f>+H223+Table1[[#This Row],[PRINCIPAL]]</f>
        <v>118511.14875969266</v>
      </c>
      <c r="I224" s="7">
        <f>Table1[[#This Row],[INTEREST]]+I223</f>
        <v>141294.84007645963</v>
      </c>
      <c r="J224" s="11"/>
      <c r="K224" s="7">
        <f t="shared" si="28"/>
        <v>100262.88496943509</v>
      </c>
      <c r="L224" s="7">
        <f>+References!$B$1-Table1[[#This Row],[INTEREST ]]</f>
        <v>851.82714361871399</v>
      </c>
      <c r="M224" s="5">
        <f>+Inputs!$B$11</f>
        <v>100</v>
      </c>
      <c r="N224" s="7">
        <f>+Table1[[#This Row],[BEGINNING BALANCE ]]*Inputs!$B$4/12</f>
        <v>323.76556604713414</v>
      </c>
      <c r="O224" s="7">
        <f>+SUM(Table1[[#This Row],[PRINCIPAL ]:[INTEREST ]])</f>
        <v>1275.5927096658481</v>
      </c>
      <c r="P224" s="7">
        <f>+Table1[[#This Row],[BEGINNING BALANCE ]]-Table1[[#This Row],[PRINCIPAL ]]-Table1[[#This Row],[EXTRA PAYMENT]]</f>
        <v>99311.057825816373</v>
      </c>
      <c r="Q224" s="5">
        <f>+Table1[[#This Row],[PRINCIPAL ]]+Table1[[#This Row],[EXTRA PAYMENT]]+Q223</f>
        <v>150688.94217418364</v>
      </c>
      <c r="R224" s="7">
        <f>+Table1[[#This Row],[INTEREST ]]+R223</f>
        <v>131217.04666196875</v>
      </c>
    </row>
    <row r="225" spans="1:18" x14ac:dyDescent="0.25">
      <c r="A225">
        <f t="shared" si="23"/>
        <v>222</v>
      </c>
      <c r="B225" s="1">
        <f t="shared" si="24"/>
        <v>47362</v>
      </c>
      <c r="C225" s="6">
        <f t="shared" si="25"/>
        <v>131488.85124030721</v>
      </c>
      <c r="D225" s="7">
        <f>PPMT(Inputs!$B$4/12,A225,Inputs!$B$5*12,-'Amortization Table'!$C$4)</f>
        <v>750.99329420235608</v>
      </c>
      <c r="E225" s="7">
        <f>IPMT(Inputs!$B$4/12,'Amortization Table'!A225,Inputs!$B$5*12,-'Amortization Table'!$C$4)</f>
        <v>424.59941546349205</v>
      </c>
      <c r="F225" s="7">
        <f t="shared" si="26"/>
        <v>1175.5927096658481</v>
      </c>
      <c r="G225" s="6">
        <f t="shared" si="27"/>
        <v>130737.85794610485</v>
      </c>
      <c r="H225" s="5">
        <f>+H224+Table1[[#This Row],[PRINCIPAL]]</f>
        <v>119262.14205389502</v>
      </c>
      <c r="I225" s="7">
        <f>Table1[[#This Row],[INTEREST]]+I224</f>
        <v>141719.43949192311</v>
      </c>
      <c r="J225" s="11"/>
      <c r="K225" s="7">
        <f t="shared" si="28"/>
        <v>99311.057825816373</v>
      </c>
      <c r="L225" s="7">
        <f>+References!$B$1-Table1[[#This Row],[INTEREST ]]</f>
        <v>854.90075210331611</v>
      </c>
      <c r="M225" s="5">
        <f>+Inputs!$B$11</f>
        <v>100</v>
      </c>
      <c r="N225" s="7">
        <f>+Table1[[#This Row],[BEGINNING BALANCE ]]*Inputs!$B$4/12</f>
        <v>320.69195756253202</v>
      </c>
      <c r="O225" s="7">
        <f>+SUM(Table1[[#This Row],[PRINCIPAL ]:[INTEREST ]])</f>
        <v>1275.5927096658481</v>
      </c>
      <c r="P225" s="7">
        <f>+Table1[[#This Row],[BEGINNING BALANCE ]]-Table1[[#This Row],[PRINCIPAL ]]-Table1[[#This Row],[EXTRA PAYMENT]]</f>
        <v>98356.157073713053</v>
      </c>
      <c r="Q225" s="5">
        <f>+Table1[[#This Row],[PRINCIPAL ]]+Table1[[#This Row],[EXTRA PAYMENT]]+Q224</f>
        <v>151643.84292628695</v>
      </c>
      <c r="R225" s="7">
        <f>+Table1[[#This Row],[INTEREST ]]+R224</f>
        <v>131537.73861953127</v>
      </c>
    </row>
    <row r="226" spans="1:18" x14ac:dyDescent="0.25">
      <c r="A226">
        <f t="shared" si="23"/>
        <v>223</v>
      </c>
      <c r="B226" s="1">
        <f t="shared" si="24"/>
        <v>47392</v>
      </c>
      <c r="C226" s="6">
        <f t="shared" si="25"/>
        <v>130737.85794610485</v>
      </c>
      <c r="D226" s="7">
        <f>PPMT(Inputs!$B$4/12,A226,Inputs!$B$5*12,-'Amortization Table'!$C$4)</f>
        <v>753.4183767148844</v>
      </c>
      <c r="E226" s="7">
        <f>IPMT(Inputs!$B$4/12,'Amortization Table'!A226,Inputs!$B$5*12,-'Amortization Table'!$C$4)</f>
        <v>422.17433295096367</v>
      </c>
      <c r="F226" s="7">
        <f t="shared" si="26"/>
        <v>1175.5927096658481</v>
      </c>
      <c r="G226" s="6">
        <f t="shared" si="27"/>
        <v>129984.43956938997</v>
      </c>
      <c r="H226" s="5">
        <f>+H225+Table1[[#This Row],[PRINCIPAL]]</f>
        <v>120015.5604306099</v>
      </c>
      <c r="I226" s="7">
        <f>Table1[[#This Row],[INTEREST]]+I225</f>
        <v>142141.61382487408</v>
      </c>
      <c r="J226" s="11"/>
      <c r="K226" s="7">
        <f t="shared" si="28"/>
        <v>98356.157073713053</v>
      </c>
      <c r="L226" s="7">
        <f>+References!$B$1-Table1[[#This Row],[INTEREST ]]</f>
        <v>857.98428578198309</v>
      </c>
      <c r="M226" s="5">
        <f>+Inputs!$B$11</f>
        <v>100</v>
      </c>
      <c r="N226" s="7">
        <f>+Table1[[#This Row],[BEGINNING BALANCE ]]*Inputs!$B$4/12</f>
        <v>317.6084238838651</v>
      </c>
      <c r="O226" s="7">
        <f>+SUM(Table1[[#This Row],[PRINCIPAL ]:[INTEREST ]])</f>
        <v>1275.5927096658481</v>
      </c>
      <c r="P226" s="7">
        <f>+Table1[[#This Row],[BEGINNING BALANCE ]]-Table1[[#This Row],[PRINCIPAL ]]-Table1[[#This Row],[EXTRA PAYMENT]]</f>
        <v>97398.172787931064</v>
      </c>
      <c r="Q226" s="5">
        <f>+Table1[[#This Row],[PRINCIPAL ]]+Table1[[#This Row],[EXTRA PAYMENT]]+Q225</f>
        <v>152601.82721206892</v>
      </c>
      <c r="R226" s="7">
        <f>+Table1[[#This Row],[INTEREST ]]+R225</f>
        <v>131855.34704341512</v>
      </c>
    </row>
    <row r="227" spans="1:18" x14ac:dyDescent="0.25">
      <c r="A227">
        <f t="shared" si="23"/>
        <v>224</v>
      </c>
      <c r="B227" s="1">
        <f t="shared" si="24"/>
        <v>47423</v>
      </c>
      <c r="C227" s="6">
        <f t="shared" si="25"/>
        <v>129984.43956938997</v>
      </c>
      <c r="D227" s="7">
        <f>PPMT(Inputs!$B$4/12,A227,Inputs!$B$5*12,-'Amortization Table'!$C$4)</f>
        <v>755.85129022302624</v>
      </c>
      <c r="E227" s="7">
        <f>IPMT(Inputs!$B$4/12,'Amortization Table'!A227,Inputs!$B$5*12,-'Amortization Table'!$C$4)</f>
        <v>419.74141944282189</v>
      </c>
      <c r="F227" s="7">
        <f t="shared" si="26"/>
        <v>1175.5927096658481</v>
      </c>
      <c r="G227" s="6">
        <f t="shared" si="27"/>
        <v>129228.58827916694</v>
      </c>
      <c r="H227" s="5">
        <f>+H226+Table1[[#This Row],[PRINCIPAL]]</f>
        <v>120771.41172083293</v>
      </c>
      <c r="I227" s="7">
        <f>Table1[[#This Row],[INTEREST]]+I226</f>
        <v>142561.35524431689</v>
      </c>
      <c r="J227" s="11"/>
      <c r="K227" s="7">
        <f t="shared" si="28"/>
        <v>97398.172787931064</v>
      </c>
      <c r="L227" s="7">
        <f>+References!$B$1-Table1[[#This Row],[INTEREST ]]</f>
        <v>861.07777670482074</v>
      </c>
      <c r="M227" s="5">
        <f>+Inputs!$B$11</f>
        <v>100</v>
      </c>
      <c r="N227" s="7">
        <f>+Table1[[#This Row],[BEGINNING BALANCE ]]*Inputs!$B$4/12</f>
        <v>314.5149329610274</v>
      </c>
      <c r="O227" s="7">
        <f>+SUM(Table1[[#This Row],[PRINCIPAL ]:[INTEREST ]])</f>
        <v>1275.5927096658481</v>
      </c>
      <c r="P227" s="7">
        <f>+Table1[[#This Row],[BEGINNING BALANCE ]]-Table1[[#This Row],[PRINCIPAL ]]-Table1[[#This Row],[EXTRA PAYMENT]]</f>
        <v>96437.095011226236</v>
      </c>
      <c r="Q227" s="5">
        <f>+Table1[[#This Row],[PRINCIPAL ]]+Table1[[#This Row],[EXTRA PAYMENT]]+Q226</f>
        <v>153562.90498877375</v>
      </c>
      <c r="R227" s="7">
        <f>+Table1[[#This Row],[INTEREST ]]+R226</f>
        <v>132169.86197637615</v>
      </c>
    </row>
    <row r="228" spans="1:18" x14ac:dyDescent="0.25">
      <c r="A228">
        <f t="shared" si="23"/>
        <v>225</v>
      </c>
      <c r="B228" s="1">
        <f t="shared" si="24"/>
        <v>47453</v>
      </c>
      <c r="C228" s="6">
        <f t="shared" si="25"/>
        <v>129228.58827916694</v>
      </c>
      <c r="D228" s="7">
        <f>PPMT(Inputs!$B$4/12,A228,Inputs!$B$5*12,-'Amortization Table'!$C$4)</f>
        <v>758.29206001437137</v>
      </c>
      <c r="E228" s="7">
        <f>IPMT(Inputs!$B$4/12,'Amortization Table'!A228,Inputs!$B$5*12,-'Amortization Table'!$C$4)</f>
        <v>417.30064965147665</v>
      </c>
      <c r="F228" s="7">
        <f t="shared" si="26"/>
        <v>1175.5927096658479</v>
      </c>
      <c r="G228" s="6">
        <f t="shared" si="27"/>
        <v>128470.29621915257</v>
      </c>
      <c r="H228" s="5">
        <f>+H227+Table1[[#This Row],[PRINCIPAL]]</f>
        <v>121529.7037808473</v>
      </c>
      <c r="I228" s="7">
        <f>Table1[[#This Row],[INTEREST]]+I227</f>
        <v>142978.65589396836</v>
      </c>
      <c r="J228" s="11"/>
      <c r="K228" s="7">
        <f t="shared" si="28"/>
        <v>96437.095011226236</v>
      </c>
      <c r="L228" s="7">
        <f>+References!$B$1-Table1[[#This Row],[INTEREST ]]</f>
        <v>864.18125702543011</v>
      </c>
      <c r="M228" s="5">
        <f>+Inputs!$B$11</f>
        <v>100</v>
      </c>
      <c r="N228" s="7">
        <f>+Table1[[#This Row],[BEGINNING BALANCE ]]*Inputs!$B$4/12</f>
        <v>311.41145264041808</v>
      </c>
      <c r="O228" s="7">
        <f>+SUM(Table1[[#This Row],[PRINCIPAL ]:[INTEREST ]])</f>
        <v>1275.5927096658481</v>
      </c>
      <c r="P228" s="7">
        <f>+Table1[[#This Row],[BEGINNING BALANCE ]]-Table1[[#This Row],[PRINCIPAL ]]-Table1[[#This Row],[EXTRA PAYMENT]]</f>
        <v>95472.91375420081</v>
      </c>
      <c r="Q228" s="5">
        <f>+Table1[[#This Row],[PRINCIPAL ]]+Table1[[#This Row],[EXTRA PAYMENT]]+Q227</f>
        <v>154527.08624579918</v>
      </c>
      <c r="R228" s="7">
        <f>+Table1[[#This Row],[INTEREST ]]+R227</f>
        <v>132481.27342901658</v>
      </c>
    </row>
    <row r="229" spans="1:18" x14ac:dyDescent="0.25">
      <c r="A229">
        <f t="shared" si="23"/>
        <v>226</v>
      </c>
      <c r="B229" s="1">
        <f t="shared" si="24"/>
        <v>47484</v>
      </c>
      <c r="C229" s="6">
        <f t="shared" si="25"/>
        <v>128470.29621915257</v>
      </c>
      <c r="D229" s="7">
        <f>PPMT(Inputs!$B$4/12,A229,Inputs!$B$5*12,-'Amortization Table'!$C$4)</f>
        <v>760.74071145816788</v>
      </c>
      <c r="E229" s="7">
        <f>IPMT(Inputs!$B$4/12,'Amortization Table'!A229,Inputs!$B$5*12,-'Amortization Table'!$C$4)</f>
        <v>414.85199820768031</v>
      </c>
      <c r="F229" s="7">
        <f t="shared" si="26"/>
        <v>1175.5927096658481</v>
      </c>
      <c r="G229" s="6">
        <f t="shared" si="27"/>
        <v>127709.5555076944</v>
      </c>
      <c r="H229" s="5">
        <f>+H228+Table1[[#This Row],[PRINCIPAL]]</f>
        <v>122290.44449230547</v>
      </c>
      <c r="I229" s="7">
        <f>Table1[[#This Row],[INTEREST]]+I228</f>
        <v>143393.50789217604</v>
      </c>
      <c r="J229" s="11"/>
      <c r="K229" s="7">
        <f t="shared" si="28"/>
        <v>95472.91375420081</v>
      </c>
      <c r="L229" s="7">
        <f>+References!$B$1-Table1[[#This Row],[INTEREST ]]</f>
        <v>867.29475900124135</v>
      </c>
      <c r="M229" s="5">
        <f>+Inputs!$B$11</f>
        <v>100</v>
      </c>
      <c r="N229" s="7">
        <f>+Table1[[#This Row],[BEGINNING BALANCE ]]*Inputs!$B$4/12</f>
        <v>308.29795066460679</v>
      </c>
      <c r="O229" s="7">
        <f>+SUM(Table1[[#This Row],[PRINCIPAL ]:[INTEREST ]])</f>
        <v>1275.5927096658481</v>
      </c>
      <c r="P229" s="7">
        <f>+Table1[[#This Row],[BEGINNING BALANCE ]]-Table1[[#This Row],[PRINCIPAL ]]-Table1[[#This Row],[EXTRA PAYMENT]]</f>
        <v>94505.618995199562</v>
      </c>
      <c r="Q229" s="5">
        <f>+Table1[[#This Row],[PRINCIPAL ]]+Table1[[#This Row],[EXTRA PAYMENT]]+Q228</f>
        <v>155494.38100480041</v>
      </c>
      <c r="R229" s="7">
        <f>+Table1[[#This Row],[INTEREST ]]+R228</f>
        <v>132789.57137968118</v>
      </c>
    </row>
    <row r="230" spans="1:18" x14ac:dyDescent="0.25">
      <c r="A230">
        <f t="shared" ref="A230:A293" si="29">+A229+1</f>
        <v>227</v>
      </c>
      <c r="B230" s="1">
        <f t="shared" ref="B230:B293" si="30">+EOMONTH(B229,0)+1</f>
        <v>47515</v>
      </c>
      <c r="C230" s="6">
        <f t="shared" ref="C230:C293" si="31">+G229</f>
        <v>127709.5555076944</v>
      </c>
      <c r="D230" s="7">
        <f>PPMT(Inputs!$B$4/12,A230,Inputs!$B$5*12,-'Amortization Table'!$C$4)</f>
        <v>763.19727000558487</v>
      </c>
      <c r="E230" s="7">
        <f>IPMT(Inputs!$B$4/12,'Amortization Table'!A230,Inputs!$B$5*12,-'Amortization Table'!$C$4)</f>
        <v>412.39543966026321</v>
      </c>
      <c r="F230" s="7">
        <f t="shared" si="26"/>
        <v>1175.5927096658481</v>
      </c>
      <c r="G230" s="6">
        <f t="shared" si="27"/>
        <v>126946.35823768881</v>
      </c>
      <c r="H230" s="5">
        <f>+H229+Table1[[#This Row],[PRINCIPAL]]</f>
        <v>123053.64176231105</v>
      </c>
      <c r="I230" s="7">
        <f>Table1[[#This Row],[INTEREST]]+I229</f>
        <v>143805.90333183631</v>
      </c>
      <c r="J230" s="11"/>
      <c r="K230" s="7">
        <f t="shared" si="28"/>
        <v>94505.618995199562</v>
      </c>
      <c r="L230" s="7">
        <f>+References!$B$1-Table1[[#This Row],[INTEREST ]]</f>
        <v>870.41831499384955</v>
      </c>
      <c r="M230" s="5">
        <f>+Inputs!$B$11</f>
        <v>100</v>
      </c>
      <c r="N230" s="7">
        <f>+Table1[[#This Row],[BEGINNING BALANCE ]]*Inputs!$B$4/12</f>
        <v>305.17439467199858</v>
      </c>
      <c r="O230" s="7">
        <f>+SUM(Table1[[#This Row],[PRINCIPAL ]:[INTEREST ]])</f>
        <v>1275.5927096658481</v>
      </c>
      <c r="P230" s="7">
        <f>+Table1[[#This Row],[BEGINNING BALANCE ]]-Table1[[#This Row],[PRINCIPAL ]]-Table1[[#This Row],[EXTRA PAYMENT]]</f>
        <v>93535.200680205715</v>
      </c>
      <c r="Q230" s="5">
        <f>+Table1[[#This Row],[PRINCIPAL ]]+Table1[[#This Row],[EXTRA PAYMENT]]+Q229</f>
        <v>156464.79931979426</v>
      </c>
      <c r="R230" s="7">
        <f>+Table1[[#This Row],[INTEREST ]]+R229</f>
        <v>133094.74577435318</v>
      </c>
    </row>
    <row r="231" spans="1:18" x14ac:dyDescent="0.25">
      <c r="A231">
        <f t="shared" si="29"/>
        <v>228</v>
      </c>
      <c r="B231" s="1">
        <f t="shared" si="30"/>
        <v>47543</v>
      </c>
      <c r="C231" s="6">
        <f t="shared" si="31"/>
        <v>126946.35823768881</v>
      </c>
      <c r="D231" s="7">
        <f>PPMT(Inputs!$B$4/12,A231,Inputs!$B$5*12,-'Amortization Table'!$C$4)</f>
        <v>765.66176118997794</v>
      </c>
      <c r="E231" s="7">
        <f>IPMT(Inputs!$B$4/12,'Amortization Table'!A231,Inputs!$B$5*12,-'Amortization Table'!$C$4)</f>
        <v>409.93094847587014</v>
      </c>
      <c r="F231" s="7">
        <f t="shared" si="26"/>
        <v>1175.5927096658481</v>
      </c>
      <c r="G231" s="6">
        <f t="shared" si="27"/>
        <v>126180.69647649884</v>
      </c>
      <c r="H231" s="5">
        <f>+H230+Table1[[#This Row],[PRINCIPAL]]</f>
        <v>123819.30352350102</v>
      </c>
      <c r="I231" s="7">
        <f>Table1[[#This Row],[INTEREST]]+I230</f>
        <v>144215.83428031218</v>
      </c>
      <c r="J231" s="11"/>
      <c r="K231" s="7">
        <f t="shared" si="28"/>
        <v>93535.200680205715</v>
      </c>
      <c r="L231" s="7">
        <f>+References!$B$1-Table1[[#This Row],[INTEREST ]]</f>
        <v>873.55195746935055</v>
      </c>
      <c r="M231" s="5">
        <f>+Inputs!$B$11</f>
        <v>100</v>
      </c>
      <c r="N231" s="7">
        <f>+Table1[[#This Row],[BEGINNING BALANCE ]]*Inputs!$B$4/12</f>
        <v>302.04075219649764</v>
      </c>
      <c r="O231" s="7">
        <f>+SUM(Table1[[#This Row],[PRINCIPAL ]:[INTEREST ]])</f>
        <v>1275.5927096658481</v>
      </c>
      <c r="P231" s="7">
        <f>+Table1[[#This Row],[BEGINNING BALANCE ]]-Table1[[#This Row],[PRINCIPAL ]]-Table1[[#This Row],[EXTRA PAYMENT]]</f>
        <v>92561.648722736369</v>
      </c>
      <c r="Q231" s="5">
        <f>+Table1[[#This Row],[PRINCIPAL ]]+Table1[[#This Row],[EXTRA PAYMENT]]+Q230</f>
        <v>157438.3512772636</v>
      </c>
      <c r="R231" s="7">
        <f>+Table1[[#This Row],[INTEREST ]]+R230</f>
        <v>133396.78652654969</v>
      </c>
    </row>
    <row r="232" spans="1:18" x14ac:dyDescent="0.25">
      <c r="A232">
        <f t="shared" si="29"/>
        <v>229</v>
      </c>
      <c r="B232" s="1">
        <f t="shared" si="30"/>
        <v>47574</v>
      </c>
      <c r="C232" s="6">
        <f t="shared" si="31"/>
        <v>126180.69647649884</v>
      </c>
      <c r="D232" s="7">
        <f>PPMT(Inputs!$B$4/12,A232,Inputs!$B$5*12,-'Amortization Table'!$C$4)</f>
        <v>768.13421062715383</v>
      </c>
      <c r="E232" s="7">
        <f>IPMT(Inputs!$B$4/12,'Amortization Table'!A232,Inputs!$B$5*12,-'Amortization Table'!$C$4)</f>
        <v>407.45849903869424</v>
      </c>
      <c r="F232" s="7">
        <f t="shared" si="26"/>
        <v>1175.5927096658481</v>
      </c>
      <c r="G232" s="6">
        <f t="shared" si="27"/>
        <v>125412.56226587169</v>
      </c>
      <c r="H232" s="5">
        <f>+H231+Table1[[#This Row],[PRINCIPAL]]</f>
        <v>124587.43773412817</v>
      </c>
      <c r="I232" s="7">
        <f>Table1[[#This Row],[INTEREST]]+I231</f>
        <v>144623.29277935089</v>
      </c>
      <c r="J232" s="11"/>
      <c r="K232" s="7">
        <f t="shared" si="28"/>
        <v>92561.648722736369</v>
      </c>
      <c r="L232" s="7">
        <f>+References!$B$1-Table1[[#This Row],[INTEREST ]]</f>
        <v>876.69571899867856</v>
      </c>
      <c r="M232" s="5">
        <f>+Inputs!$B$11</f>
        <v>100</v>
      </c>
      <c r="N232" s="7">
        <f>+Table1[[#This Row],[BEGINNING BALANCE ]]*Inputs!$B$4/12</f>
        <v>298.89699066716952</v>
      </c>
      <c r="O232" s="7">
        <f>+SUM(Table1[[#This Row],[PRINCIPAL ]:[INTEREST ]])</f>
        <v>1275.5927096658481</v>
      </c>
      <c r="P232" s="7">
        <f>+Table1[[#This Row],[BEGINNING BALANCE ]]-Table1[[#This Row],[PRINCIPAL ]]-Table1[[#This Row],[EXTRA PAYMENT]]</f>
        <v>91584.953003737697</v>
      </c>
      <c r="Q232" s="5">
        <f>+Table1[[#This Row],[PRINCIPAL ]]+Table1[[#This Row],[EXTRA PAYMENT]]+Q231</f>
        <v>158415.04699626227</v>
      </c>
      <c r="R232" s="7">
        <f>+Table1[[#This Row],[INTEREST ]]+R231</f>
        <v>133695.68351721685</v>
      </c>
    </row>
    <row r="233" spans="1:18" x14ac:dyDescent="0.25">
      <c r="A233">
        <f t="shared" si="29"/>
        <v>230</v>
      </c>
      <c r="B233" s="1">
        <f t="shared" si="30"/>
        <v>47604</v>
      </c>
      <c r="C233" s="6">
        <f t="shared" si="31"/>
        <v>125412.56226587169</v>
      </c>
      <c r="D233" s="7">
        <f>PPMT(Inputs!$B$4/12,A233,Inputs!$B$5*12,-'Amortization Table'!$C$4)</f>
        <v>770.6146440156374</v>
      </c>
      <c r="E233" s="7">
        <f>IPMT(Inputs!$B$4/12,'Amortization Table'!A233,Inputs!$B$5*12,-'Amortization Table'!$C$4)</f>
        <v>404.97806565021068</v>
      </c>
      <c r="F233" s="7">
        <f t="shared" si="26"/>
        <v>1175.5927096658481</v>
      </c>
      <c r="G233" s="6">
        <f t="shared" si="27"/>
        <v>124641.94762185604</v>
      </c>
      <c r="H233" s="5">
        <f>+H232+Table1[[#This Row],[PRINCIPAL]]</f>
        <v>125358.05237814381</v>
      </c>
      <c r="I233" s="7">
        <f>Table1[[#This Row],[INTEREST]]+I232</f>
        <v>145028.2708450011</v>
      </c>
      <c r="J233" s="11"/>
      <c r="K233" s="7">
        <f t="shared" si="28"/>
        <v>91584.953003737697</v>
      </c>
      <c r="L233" s="7">
        <f>+References!$B$1-Table1[[#This Row],[INTEREST ]]</f>
        <v>879.84963225794513</v>
      </c>
      <c r="M233" s="5">
        <f>+Inputs!$B$11</f>
        <v>100</v>
      </c>
      <c r="N233" s="7">
        <f>+Table1[[#This Row],[BEGINNING BALANCE ]]*Inputs!$B$4/12</f>
        <v>295.74307740790294</v>
      </c>
      <c r="O233" s="7">
        <f>+SUM(Table1[[#This Row],[PRINCIPAL ]:[INTEREST ]])</f>
        <v>1275.5927096658481</v>
      </c>
      <c r="P233" s="7">
        <f>+Table1[[#This Row],[BEGINNING BALANCE ]]-Table1[[#This Row],[PRINCIPAL ]]-Table1[[#This Row],[EXTRA PAYMENT]]</f>
        <v>90605.103371479752</v>
      </c>
      <c r="Q233" s="5">
        <f>+Table1[[#This Row],[PRINCIPAL ]]+Table1[[#This Row],[EXTRA PAYMENT]]+Q232</f>
        <v>159394.89662852022</v>
      </c>
      <c r="R233" s="7">
        <f>+Table1[[#This Row],[INTEREST ]]+R232</f>
        <v>133991.42659462476</v>
      </c>
    </row>
    <row r="234" spans="1:18" x14ac:dyDescent="0.25">
      <c r="A234">
        <f t="shared" si="29"/>
        <v>231</v>
      </c>
      <c r="B234" s="1">
        <f t="shared" si="30"/>
        <v>47635</v>
      </c>
      <c r="C234" s="6">
        <f t="shared" si="31"/>
        <v>124641.94762185604</v>
      </c>
      <c r="D234" s="7">
        <f>PPMT(Inputs!$B$4/12,A234,Inputs!$B$5*12,-'Amortization Table'!$C$4)</f>
        <v>773.10308713693792</v>
      </c>
      <c r="E234" s="7">
        <f>IPMT(Inputs!$B$4/12,'Amortization Table'!A234,Inputs!$B$5*12,-'Amortization Table'!$C$4)</f>
        <v>402.48962252891022</v>
      </c>
      <c r="F234" s="7">
        <f t="shared" si="26"/>
        <v>1175.5927096658481</v>
      </c>
      <c r="G234" s="6">
        <f t="shared" si="27"/>
        <v>123868.8445347191</v>
      </c>
      <c r="H234" s="5">
        <f>+H233+Table1[[#This Row],[PRINCIPAL]]</f>
        <v>126131.15546528075</v>
      </c>
      <c r="I234" s="7">
        <f>Table1[[#This Row],[INTEREST]]+I233</f>
        <v>145430.76046753</v>
      </c>
      <c r="J234" s="11"/>
      <c r="K234" s="7">
        <f t="shared" si="28"/>
        <v>90605.103371479752</v>
      </c>
      <c r="L234" s="7">
        <f>+References!$B$1-Table1[[#This Row],[INTEREST ]]</f>
        <v>883.01373002877813</v>
      </c>
      <c r="M234" s="5">
        <f>+Inputs!$B$11</f>
        <v>100</v>
      </c>
      <c r="N234" s="7">
        <f>+Table1[[#This Row],[BEGINNING BALANCE ]]*Inputs!$B$4/12</f>
        <v>292.57897963707006</v>
      </c>
      <c r="O234" s="7">
        <f>+SUM(Table1[[#This Row],[PRINCIPAL ]:[INTEREST ]])</f>
        <v>1275.5927096658481</v>
      </c>
      <c r="P234" s="7">
        <f>+Table1[[#This Row],[BEGINNING BALANCE ]]-Table1[[#This Row],[PRINCIPAL ]]-Table1[[#This Row],[EXTRA PAYMENT]]</f>
        <v>89622.089641450977</v>
      </c>
      <c r="Q234" s="5">
        <f>+Table1[[#This Row],[PRINCIPAL ]]+Table1[[#This Row],[EXTRA PAYMENT]]+Q233</f>
        <v>160377.91035854901</v>
      </c>
      <c r="R234" s="7">
        <f>+Table1[[#This Row],[INTEREST ]]+R233</f>
        <v>134284.00557426183</v>
      </c>
    </row>
    <row r="235" spans="1:18" x14ac:dyDescent="0.25">
      <c r="A235">
        <f t="shared" si="29"/>
        <v>232</v>
      </c>
      <c r="B235" s="1">
        <f t="shared" si="30"/>
        <v>47665</v>
      </c>
      <c r="C235" s="6">
        <f t="shared" si="31"/>
        <v>123868.8445347191</v>
      </c>
      <c r="D235" s="7">
        <f>PPMT(Inputs!$B$4/12,A235,Inputs!$B$5*12,-'Amortization Table'!$C$4)</f>
        <v>775.59956585581767</v>
      </c>
      <c r="E235" s="7">
        <f>IPMT(Inputs!$B$4/12,'Amortization Table'!A235,Inputs!$B$5*12,-'Amortization Table'!$C$4)</f>
        <v>399.99314381003052</v>
      </c>
      <c r="F235" s="7">
        <f t="shared" si="26"/>
        <v>1175.5927096658481</v>
      </c>
      <c r="G235" s="6">
        <f t="shared" si="27"/>
        <v>123093.24496886328</v>
      </c>
      <c r="H235" s="5">
        <f>+H234+Table1[[#This Row],[PRINCIPAL]]</f>
        <v>126906.75503113658</v>
      </c>
      <c r="I235" s="7">
        <f>Table1[[#This Row],[INTEREST]]+I234</f>
        <v>145830.75361134001</v>
      </c>
      <c r="J235" s="11"/>
      <c r="K235" s="7">
        <f t="shared" si="28"/>
        <v>89622.089641450977</v>
      </c>
      <c r="L235" s="7">
        <f>+References!$B$1-Table1[[#This Row],[INTEREST ]]</f>
        <v>886.18804519866262</v>
      </c>
      <c r="M235" s="5">
        <f>+Inputs!$B$11</f>
        <v>100</v>
      </c>
      <c r="N235" s="7">
        <f>+Table1[[#This Row],[BEGINNING BALANCE ]]*Inputs!$B$4/12</f>
        <v>289.40466446718546</v>
      </c>
      <c r="O235" s="7">
        <f>+SUM(Table1[[#This Row],[PRINCIPAL ]:[INTEREST ]])</f>
        <v>1275.5927096658481</v>
      </c>
      <c r="P235" s="7">
        <f>+Table1[[#This Row],[BEGINNING BALANCE ]]-Table1[[#This Row],[PRINCIPAL ]]-Table1[[#This Row],[EXTRA PAYMENT]]</f>
        <v>88635.901596252312</v>
      </c>
      <c r="Q235" s="5">
        <f>+Table1[[#This Row],[PRINCIPAL ]]+Table1[[#This Row],[EXTRA PAYMENT]]+Q234</f>
        <v>161364.09840374766</v>
      </c>
      <c r="R235" s="7">
        <f>+Table1[[#This Row],[INTEREST ]]+R234</f>
        <v>134573.410238729</v>
      </c>
    </row>
    <row r="236" spans="1:18" x14ac:dyDescent="0.25">
      <c r="A236">
        <f t="shared" si="29"/>
        <v>233</v>
      </c>
      <c r="B236" s="1">
        <f t="shared" si="30"/>
        <v>47696</v>
      </c>
      <c r="C236" s="6">
        <f t="shared" si="31"/>
        <v>123093.24496886328</v>
      </c>
      <c r="D236" s="7">
        <f>PPMT(Inputs!$B$4/12,A236,Inputs!$B$5*12,-'Amortization Table'!$C$4)</f>
        <v>778.10410612056035</v>
      </c>
      <c r="E236" s="7">
        <f>IPMT(Inputs!$B$4/12,'Amortization Table'!A236,Inputs!$B$5*12,-'Amortization Table'!$C$4)</f>
        <v>397.48860354528779</v>
      </c>
      <c r="F236" s="7">
        <f t="shared" si="26"/>
        <v>1175.5927096658481</v>
      </c>
      <c r="G236" s="6">
        <f t="shared" si="27"/>
        <v>122315.14086274272</v>
      </c>
      <c r="H236" s="5">
        <f>+H235+Table1[[#This Row],[PRINCIPAL]]</f>
        <v>127684.85913725714</v>
      </c>
      <c r="I236" s="7">
        <f>Table1[[#This Row],[INTEREST]]+I235</f>
        <v>146228.24221488531</v>
      </c>
      <c r="J236" s="11"/>
      <c r="K236" s="7">
        <f t="shared" si="28"/>
        <v>88635.901596252312</v>
      </c>
      <c r="L236" s="7">
        <f>+References!$B$1-Table1[[#This Row],[INTEREST ]]</f>
        <v>889.37261076128334</v>
      </c>
      <c r="M236" s="5">
        <f>+Inputs!$B$11</f>
        <v>100</v>
      </c>
      <c r="N236" s="7">
        <f>+Table1[[#This Row],[BEGINNING BALANCE ]]*Inputs!$B$4/12</f>
        <v>286.22009890456474</v>
      </c>
      <c r="O236" s="7">
        <f>+SUM(Table1[[#This Row],[PRINCIPAL ]:[INTEREST ]])</f>
        <v>1275.5927096658481</v>
      </c>
      <c r="P236" s="7">
        <f>+Table1[[#This Row],[BEGINNING BALANCE ]]-Table1[[#This Row],[PRINCIPAL ]]-Table1[[#This Row],[EXTRA PAYMENT]]</f>
        <v>87646.528985491022</v>
      </c>
      <c r="Q236" s="5">
        <f>+Table1[[#This Row],[PRINCIPAL ]]+Table1[[#This Row],[EXTRA PAYMENT]]+Q235</f>
        <v>162353.47101450895</v>
      </c>
      <c r="R236" s="7">
        <f>+Table1[[#This Row],[INTEREST ]]+R235</f>
        <v>134859.63033763357</v>
      </c>
    </row>
    <row r="237" spans="1:18" x14ac:dyDescent="0.25">
      <c r="A237">
        <f t="shared" si="29"/>
        <v>234</v>
      </c>
      <c r="B237" s="1">
        <f t="shared" si="30"/>
        <v>47727</v>
      </c>
      <c r="C237" s="6">
        <f t="shared" si="31"/>
        <v>122315.14086274272</v>
      </c>
      <c r="D237" s="7">
        <f>PPMT(Inputs!$B$4/12,A237,Inputs!$B$5*12,-'Amortization Table'!$C$4)</f>
        <v>780.61673396324136</v>
      </c>
      <c r="E237" s="7">
        <f>IPMT(Inputs!$B$4/12,'Amortization Table'!A237,Inputs!$B$5*12,-'Amortization Table'!$C$4)</f>
        <v>394.97597570260689</v>
      </c>
      <c r="F237" s="7">
        <f t="shared" si="26"/>
        <v>1175.5927096658484</v>
      </c>
      <c r="G237" s="6">
        <f t="shared" si="27"/>
        <v>121534.52412877948</v>
      </c>
      <c r="H237" s="5">
        <f>+H236+Table1[[#This Row],[PRINCIPAL]]</f>
        <v>128465.47587122038</v>
      </c>
      <c r="I237" s="7">
        <f>Table1[[#This Row],[INTEREST]]+I236</f>
        <v>146623.21819058791</v>
      </c>
      <c r="J237" s="11"/>
      <c r="K237" s="7">
        <f t="shared" si="28"/>
        <v>87646.528985491022</v>
      </c>
      <c r="L237" s="7">
        <f>+References!$B$1-Table1[[#This Row],[INTEREST ]]</f>
        <v>892.56745981686663</v>
      </c>
      <c r="M237" s="5">
        <f>+Inputs!$B$11</f>
        <v>100</v>
      </c>
      <c r="N237" s="7">
        <f>+Table1[[#This Row],[BEGINNING BALANCE ]]*Inputs!$B$4/12</f>
        <v>283.02524984898145</v>
      </c>
      <c r="O237" s="7">
        <f>+SUM(Table1[[#This Row],[PRINCIPAL ]:[INTEREST ]])</f>
        <v>1275.5927096658481</v>
      </c>
      <c r="P237" s="7">
        <f>+Table1[[#This Row],[BEGINNING BALANCE ]]-Table1[[#This Row],[PRINCIPAL ]]-Table1[[#This Row],[EXTRA PAYMENT]]</f>
        <v>86653.961525674153</v>
      </c>
      <c r="Q237" s="5">
        <f>+Table1[[#This Row],[PRINCIPAL ]]+Table1[[#This Row],[EXTRA PAYMENT]]+Q236</f>
        <v>163346.03847432582</v>
      </c>
      <c r="R237" s="7">
        <f>+Table1[[#This Row],[INTEREST ]]+R236</f>
        <v>135142.65558748256</v>
      </c>
    </row>
    <row r="238" spans="1:18" x14ac:dyDescent="0.25">
      <c r="A238">
        <f t="shared" si="29"/>
        <v>235</v>
      </c>
      <c r="B238" s="1">
        <f t="shared" si="30"/>
        <v>47757</v>
      </c>
      <c r="C238" s="6">
        <f t="shared" si="31"/>
        <v>121534.52412877948</v>
      </c>
      <c r="D238" s="7">
        <f>PPMT(Inputs!$B$4/12,A238,Inputs!$B$5*12,-'Amortization Table'!$C$4)</f>
        <v>783.13747549999755</v>
      </c>
      <c r="E238" s="7">
        <f>IPMT(Inputs!$B$4/12,'Amortization Table'!A238,Inputs!$B$5*12,-'Amortization Table'!$C$4)</f>
        <v>392.45523416585047</v>
      </c>
      <c r="F238" s="7">
        <f t="shared" si="26"/>
        <v>1175.5927096658479</v>
      </c>
      <c r="G238" s="6">
        <f t="shared" si="27"/>
        <v>120751.38665327948</v>
      </c>
      <c r="H238" s="5">
        <f>+H237+Table1[[#This Row],[PRINCIPAL]]</f>
        <v>129248.61334672038</v>
      </c>
      <c r="I238" s="7">
        <f>Table1[[#This Row],[INTEREST]]+I237</f>
        <v>147015.67342475377</v>
      </c>
      <c r="J238" s="11"/>
      <c r="K238" s="7">
        <f t="shared" si="28"/>
        <v>86653.961525674153</v>
      </c>
      <c r="L238" s="7">
        <f>+References!$B$1-Table1[[#This Row],[INTEREST ]]</f>
        <v>895.77262557252538</v>
      </c>
      <c r="M238" s="5">
        <f>+Inputs!$B$11</f>
        <v>100</v>
      </c>
      <c r="N238" s="7">
        <f>+Table1[[#This Row],[BEGINNING BALANCE ]]*Inputs!$B$4/12</f>
        <v>279.82008409332281</v>
      </c>
      <c r="O238" s="7">
        <f>+SUM(Table1[[#This Row],[PRINCIPAL ]:[INTEREST ]])</f>
        <v>1275.5927096658481</v>
      </c>
      <c r="P238" s="7">
        <f>+Table1[[#This Row],[BEGINNING BALANCE ]]-Table1[[#This Row],[PRINCIPAL ]]-Table1[[#This Row],[EXTRA PAYMENT]]</f>
        <v>85658.188900101624</v>
      </c>
      <c r="Q238" s="5">
        <f>+Table1[[#This Row],[PRINCIPAL ]]+Table1[[#This Row],[EXTRA PAYMENT]]+Q237</f>
        <v>164341.81109989833</v>
      </c>
      <c r="R238" s="7">
        <f>+Table1[[#This Row],[INTEREST ]]+R237</f>
        <v>135422.47567157587</v>
      </c>
    </row>
    <row r="239" spans="1:18" x14ac:dyDescent="0.25">
      <c r="A239">
        <f t="shared" si="29"/>
        <v>236</v>
      </c>
      <c r="B239" s="1">
        <f t="shared" si="30"/>
        <v>47788</v>
      </c>
      <c r="C239" s="6">
        <f t="shared" si="31"/>
        <v>120751.38665327948</v>
      </c>
      <c r="D239" s="7">
        <f>PPMT(Inputs!$B$4/12,A239,Inputs!$B$5*12,-'Amortization Table'!$C$4)</f>
        <v>785.66635693129979</v>
      </c>
      <c r="E239" s="7">
        <f>IPMT(Inputs!$B$4/12,'Amortization Table'!A239,Inputs!$B$5*12,-'Amortization Table'!$C$4)</f>
        <v>389.92635273454846</v>
      </c>
      <c r="F239" s="7">
        <f t="shared" si="26"/>
        <v>1175.5927096658484</v>
      </c>
      <c r="G239" s="6">
        <f t="shared" si="27"/>
        <v>119965.72029634818</v>
      </c>
      <c r="H239" s="5">
        <f>+H238+Table1[[#This Row],[PRINCIPAL]]</f>
        <v>130034.27970365167</v>
      </c>
      <c r="I239" s="7">
        <f>Table1[[#This Row],[INTEREST]]+I238</f>
        <v>147405.59977748833</v>
      </c>
      <c r="J239" s="11"/>
      <c r="K239" s="7">
        <f t="shared" si="28"/>
        <v>85658.188900101624</v>
      </c>
      <c r="L239" s="7">
        <f>+References!$B$1-Table1[[#This Row],[INTEREST ]]</f>
        <v>898.98814134260329</v>
      </c>
      <c r="M239" s="5">
        <f>+Inputs!$B$11</f>
        <v>100</v>
      </c>
      <c r="N239" s="7">
        <f>+Table1[[#This Row],[BEGINNING BALANCE ]]*Inputs!$B$4/12</f>
        <v>276.60456832324479</v>
      </c>
      <c r="O239" s="7">
        <f>+SUM(Table1[[#This Row],[PRINCIPAL ]:[INTEREST ]])</f>
        <v>1275.5927096658481</v>
      </c>
      <c r="P239" s="7">
        <f>+Table1[[#This Row],[BEGINNING BALANCE ]]-Table1[[#This Row],[PRINCIPAL ]]-Table1[[#This Row],[EXTRA PAYMENT]]</f>
        <v>84659.20075875902</v>
      </c>
      <c r="Q239" s="5">
        <f>+Table1[[#This Row],[PRINCIPAL ]]+Table1[[#This Row],[EXTRA PAYMENT]]+Q238</f>
        <v>165340.79924124092</v>
      </c>
      <c r="R239" s="7">
        <f>+Table1[[#This Row],[INTEREST ]]+R238</f>
        <v>135699.08023989911</v>
      </c>
    </row>
    <row r="240" spans="1:18" x14ac:dyDescent="0.25">
      <c r="A240">
        <f t="shared" si="29"/>
        <v>237</v>
      </c>
      <c r="B240" s="1">
        <f t="shared" si="30"/>
        <v>47818</v>
      </c>
      <c r="C240" s="6">
        <f t="shared" si="31"/>
        <v>119965.72029634818</v>
      </c>
      <c r="D240" s="7">
        <f>PPMT(Inputs!$B$4/12,A240,Inputs!$B$5*12,-'Amortization Table'!$C$4)</f>
        <v>788.20340454222367</v>
      </c>
      <c r="E240" s="7">
        <f>IPMT(Inputs!$B$4/12,'Amortization Table'!A240,Inputs!$B$5*12,-'Amortization Table'!$C$4)</f>
        <v>387.38930512362447</v>
      </c>
      <c r="F240" s="7">
        <f t="shared" si="26"/>
        <v>1175.5927096658481</v>
      </c>
      <c r="G240" s="6">
        <f t="shared" si="27"/>
        <v>119177.51689180596</v>
      </c>
      <c r="H240" s="5">
        <f>+H239+Table1[[#This Row],[PRINCIPAL]]</f>
        <v>130822.48310819389</v>
      </c>
      <c r="I240" s="7">
        <f>Table1[[#This Row],[INTEREST]]+I239</f>
        <v>147792.98908261195</v>
      </c>
      <c r="J240" s="11"/>
      <c r="K240" s="7">
        <f t="shared" si="28"/>
        <v>84659.20075875902</v>
      </c>
      <c r="L240" s="7">
        <f>+References!$B$1-Table1[[#This Row],[INTEREST ]]</f>
        <v>902.21404054902212</v>
      </c>
      <c r="M240" s="5">
        <f>+Inputs!$B$11</f>
        <v>100</v>
      </c>
      <c r="N240" s="7">
        <f>+Table1[[#This Row],[BEGINNING BALANCE ]]*Inputs!$B$4/12</f>
        <v>273.37866911682602</v>
      </c>
      <c r="O240" s="7">
        <f>+SUM(Table1[[#This Row],[PRINCIPAL ]:[INTEREST ]])</f>
        <v>1275.5927096658481</v>
      </c>
      <c r="P240" s="7">
        <f>+Table1[[#This Row],[BEGINNING BALANCE ]]-Table1[[#This Row],[PRINCIPAL ]]-Table1[[#This Row],[EXTRA PAYMENT]]</f>
        <v>83656.986718209999</v>
      </c>
      <c r="Q240" s="5">
        <f>+Table1[[#This Row],[PRINCIPAL ]]+Table1[[#This Row],[EXTRA PAYMENT]]+Q239</f>
        <v>166343.01328178996</v>
      </c>
      <c r="R240" s="7">
        <f>+Table1[[#This Row],[INTEREST ]]+R239</f>
        <v>135972.45890901593</v>
      </c>
    </row>
    <row r="241" spans="1:18" x14ac:dyDescent="0.25">
      <c r="A241">
        <f t="shared" si="29"/>
        <v>238</v>
      </c>
      <c r="B241" s="1">
        <f t="shared" si="30"/>
        <v>47849</v>
      </c>
      <c r="C241" s="6">
        <f t="shared" si="31"/>
        <v>119177.51689180596</v>
      </c>
      <c r="D241" s="7">
        <f>PPMT(Inputs!$B$4/12,A241,Inputs!$B$5*12,-'Amortization Table'!$C$4)</f>
        <v>790.74864470272462</v>
      </c>
      <c r="E241" s="7">
        <f>IPMT(Inputs!$B$4/12,'Amortization Table'!A241,Inputs!$B$5*12,-'Amortization Table'!$C$4)</f>
        <v>384.84406496312351</v>
      </c>
      <c r="F241" s="7">
        <f t="shared" si="26"/>
        <v>1175.5927096658481</v>
      </c>
      <c r="G241" s="6">
        <f t="shared" si="27"/>
        <v>118386.76824710325</v>
      </c>
      <c r="H241" s="5">
        <f>+H240+Table1[[#This Row],[PRINCIPAL]]</f>
        <v>131613.23175289662</v>
      </c>
      <c r="I241" s="7">
        <f>Table1[[#This Row],[INTEREST]]+I240</f>
        <v>148177.83314757509</v>
      </c>
      <c r="J241" s="11"/>
      <c r="K241" s="7">
        <f t="shared" si="28"/>
        <v>83656.986718209999</v>
      </c>
      <c r="L241" s="7">
        <f>+References!$B$1-Table1[[#This Row],[INTEREST ]]</f>
        <v>905.4503567216284</v>
      </c>
      <c r="M241" s="5">
        <f>+Inputs!$B$11</f>
        <v>100</v>
      </c>
      <c r="N241" s="7">
        <f>+Table1[[#This Row],[BEGINNING BALANCE ]]*Inputs!$B$4/12</f>
        <v>270.14235294421979</v>
      </c>
      <c r="O241" s="7">
        <f>+SUM(Table1[[#This Row],[PRINCIPAL ]:[INTEREST ]])</f>
        <v>1275.5927096658481</v>
      </c>
      <c r="P241" s="7">
        <f>+Table1[[#This Row],[BEGINNING BALANCE ]]-Table1[[#This Row],[PRINCIPAL ]]-Table1[[#This Row],[EXTRA PAYMENT]]</f>
        <v>82651.536361488368</v>
      </c>
      <c r="Q241" s="5">
        <f>+Table1[[#This Row],[PRINCIPAL ]]+Table1[[#This Row],[EXTRA PAYMENT]]+Q240</f>
        <v>167348.46363851157</v>
      </c>
      <c r="R241" s="7">
        <f>+Table1[[#This Row],[INTEREST ]]+R240</f>
        <v>136242.60126196014</v>
      </c>
    </row>
    <row r="242" spans="1:18" x14ac:dyDescent="0.25">
      <c r="A242">
        <f t="shared" si="29"/>
        <v>239</v>
      </c>
      <c r="B242" s="1">
        <f t="shared" si="30"/>
        <v>47880</v>
      </c>
      <c r="C242" s="6">
        <f t="shared" si="31"/>
        <v>118386.76824710325</v>
      </c>
      <c r="D242" s="7">
        <f>PPMT(Inputs!$B$4/12,A242,Inputs!$B$5*12,-'Amortization Table'!$C$4)</f>
        <v>793.30210386791055</v>
      </c>
      <c r="E242" s="7">
        <f>IPMT(Inputs!$B$4/12,'Amortization Table'!A242,Inputs!$B$5*12,-'Amortization Table'!$C$4)</f>
        <v>382.29060579793764</v>
      </c>
      <c r="F242" s="7">
        <f t="shared" si="26"/>
        <v>1175.5927096658481</v>
      </c>
      <c r="G242" s="6">
        <f t="shared" si="27"/>
        <v>117593.46614323533</v>
      </c>
      <c r="H242" s="5">
        <f>+H241+Table1[[#This Row],[PRINCIPAL]]</f>
        <v>132406.53385676452</v>
      </c>
      <c r="I242" s="7">
        <f>Table1[[#This Row],[INTEREST]]+I241</f>
        <v>148560.12375337302</v>
      </c>
      <c r="J242" s="11"/>
      <c r="K242" s="7">
        <f t="shared" si="28"/>
        <v>82651.536361488368</v>
      </c>
      <c r="L242" s="7">
        <f>+References!$B$1-Table1[[#This Row],[INTEREST ]]</f>
        <v>908.69712349854194</v>
      </c>
      <c r="M242" s="5">
        <f>+Inputs!$B$11</f>
        <v>100</v>
      </c>
      <c r="N242" s="7">
        <f>+Table1[[#This Row],[BEGINNING BALANCE ]]*Inputs!$B$4/12</f>
        <v>266.89558616730619</v>
      </c>
      <c r="O242" s="7">
        <f>+SUM(Table1[[#This Row],[PRINCIPAL ]:[INTEREST ]])</f>
        <v>1275.5927096658481</v>
      </c>
      <c r="P242" s="7">
        <f>+Table1[[#This Row],[BEGINNING BALANCE ]]-Table1[[#This Row],[PRINCIPAL ]]-Table1[[#This Row],[EXTRA PAYMENT]]</f>
        <v>81642.839237989829</v>
      </c>
      <c r="Q242" s="5">
        <f>+Table1[[#This Row],[PRINCIPAL ]]+Table1[[#This Row],[EXTRA PAYMENT]]+Q241</f>
        <v>168357.16076201011</v>
      </c>
      <c r="R242" s="7">
        <f>+Table1[[#This Row],[INTEREST ]]+R241</f>
        <v>136509.49684812746</v>
      </c>
    </row>
    <row r="243" spans="1:18" x14ac:dyDescent="0.25">
      <c r="A243">
        <f t="shared" si="29"/>
        <v>240</v>
      </c>
      <c r="B243" s="1">
        <f t="shared" si="30"/>
        <v>47908</v>
      </c>
      <c r="C243" s="6">
        <f t="shared" si="31"/>
        <v>117593.46614323533</v>
      </c>
      <c r="D243" s="7">
        <f>PPMT(Inputs!$B$4/12,A243,Inputs!$B$5*12,-'Amortization Table'!$C$4)</f>
        <v>795.86380857831739</v>
      </c>
      <c r="E243" s="7">
        <f>IPMT(Inputs!$B$4/12,'Amortization Table'!A243,Inputs!$B$5*12,-'Amortization Table'!$C$4)</f>
        <v>379.72890108753086</v>
      </c>
      <c r="F243" s="7">
        <f t="shared" si="26"/>
        <v>1175.5927096658484</v>
      </c>
      <c r="G243" s="6">
        <f t="shared" si="27"/>
        <v>116797.60233465701</v>
      </c>
      <c r="H243" s="5">
        <f>+H242+Table1[[#This Row],[PRINCIPAL]]</f>
        <v>133202.39766534284</v>
      </c>
      <c r="I243" s="7">
        <f>Table1[[#This Row],[INTEREST]]+I242</f>
        <v>148939.85265446056</v>
      </c>
      <c r="J243" s="11"/>
      <c r="K243" s="7">
        <f t="shared" si="28"/>
        <v>81642.839237989829</v>
      </c>
      <c r="L243" s="7">
        <f>+References!$B$1-Table1[[#This Row],[INTEREST ]]</f>
        <v>911.95437462650602</v>
      </c>
      <c r="M243" s="5">
        <f>+Inputs!$B$11</f>
        <v>100</v>
      </c>
      <c r="N243" s="7">
        <f>+Table1[[#This Row],[BEGINNING BALANCE ]]*Inputs!$B$4/12</f>
        <v>263.63833503934217</v>
      </c>
      <c r="O243" s="7">
        <f>+SUM(Table1[[#This Row],[PRINCIPAL ]:[INTEREST ]])</f>
        <v>1275.5927096658481</v>
      </c>
      <c r="P243" s="7">
        <f>+Table1[[#This Row],[BEGINNING BALANCE ]]-Table1[[#This Row],[PRINCIPAL ]]-Table1[[#This Row],[EXTRA PAYMENT]]</f>
        <v>80630.884863363317</v>
      </c>
      <c r="Q243" s="5">
        <f>+Table1[[#This Row],[PRINCIPAL ]]+Table1[[#This Row],[EXTRA PAYMENT]]+Q242</f>
        <v>169369.11513663662</v>
      </c>
      <c r="R243" s="7">
        <f>+Table1[[#This Row],[INTEREST ]]+R242</f>
        <v>136773.1351831668</v>
      </c>
    </row>
    <row r="244" spans="1:18" x14ac:dyDescent="0.25">
      <c r="A244">
        <f t="shared" si="29"/>
        <v>241</v>
      </c>
      <c r="B244" s="1">
        <f t="shared" si="30"/>
        <v>47939</v>
      </c>
      <c r="C244" s="6">
        <f t="shared" si="31"/>
        <v>116797.60233465701</v>
      </c>
      <c r="D244" s="7">
        <f>PPMT(Inputs!$B$4/12,A244,Inputs!$B$5*12,-'Amortization Table'!$C$4)</f>
        <v>798.43378546018482</v>
      </c>
      <c r="E244" s="7">
        <f>IPMT(Inputs!$B$4/12,'Amortization Table'!A244,Inputs!$B$5*12,-'Amortization Table'!$C$4)</f>
        <v>377.15892420566337</v>
      </c>
      <c r="F244" s="7">
        <f t="shared" si="26"/>
        <v>1175.5927096658481</v>
      </c>
      <c r="G244" s="6">
        <f t="shared" si="27"/>
        <v>115999.16854919682</v>
      </c>
      <c r="H244" s="5">
        <f>+H243+Table1[[#This Row],[PRINCIPAL]]</f>
        <v>134000.83145080303</v>
      </c>
      <c r="I244" s="7">
        <f>Table1[[#This Row],[INTEREST]]+I243</f>
        <v>149317.01157866622</v>
      </c>
      <c r="J244" s="11"/>
      <c r="K244" s="7">
        <f t="shared" si="28"/>
        <v>80630.884863363317</v>
      </c>
      <c r="L244" s="7">
        <f>+References!$B$1-Table1[[#This Row],[INTEREST ]]</f>
        <v>915.22214396123741</v>
      </c>
      <c r="M244" s="5">
        <f>+Inputs!$B$11</f>
        <v>100</v>
      </c>
      <c r="N244" s="7">
        <f>+Table1[[#This Row],[BEGINNING BALANCE ]]*Inputs!$B$4/12</f>
        <v>260.37056570461073</v>
      </c>
      <c r="O244" s="7">
        <f>+SUM(Table1[[#This Row],[PRINCIPAL ]:[INTEREST ]])</f>
        <v>1275.5927096658481</v>
      </c>
      <c r="P244" s="7">
        <f>+Table1[[#This Row],[BEGINNING BALANCE ]]-Table1[[#This Row],[PRINCIPAL ]]-Table1[[#This Row],[EXTRA PAYMENT]]</f>
        <v>79615.662719402084</v>
      </c>
      <c r="Q244" s="5">
        <f>+Table1[[#This Row],[PRINCIPAL ]]+Table1[[#This Row],[EXTRA PAYMENT]]+Q243</f>
        <v>170384.33728059786</v>
      </c>
      <c r="R244" s="7">
        <f>+Table1[[#This Row],[INTEREST ]]+R243</f>
        <v>137033.50574887142</v>
      </c>
    </row>
    <row r="245" spans="1:18" x14ac:dyDescent="0.25">
      <c r="A245">
        <f t="shared" si="29"/>
        <v>242</v>
      </c>
      <c r="B245" s="1">
        <f t="shared" si="30"/>
        <v>47969</v>
      </c>
      <c r="C245" s="6">
        <f t="shared" si="31"/>
        <v>115999.16854919682</v>
      </c>
      <c r="D245" s="7">
        <f>PPMT(Inputs!$B$4/12,A245,Inputs!$B$5*12,-'Amortization Table'!$C$4)</f>
        <v>801.01206122573331</v>
      </c>
      <c r="E245" s="7">
        <f>IPMT(Inputs!$B$4/12,'Amortization Table'!A245,Inputs!$B$5*12,-'Amortization Table'!$C$4)</f>
        <v>374.58064844011477</v>
      </c>
      <c r="F245" s="7">
        <f t="shared" si="26"/>
        <v>1175.5927096658481</v>
      </c>
      <c r="G245" s="6">
        <f t="shared" si="27"/>
        <v>115198.15648797109</v>
      </c>
      <c r="H245" s="5">
        <f>+H244+Table1[[#This Row],[PRINCIPAL]]</f>
        <v>134801.84351202878</v>
      </c>
      <c r="I245" s="7">
        <f>Table1[[#This Row],[INTEREST]]+I244</f>
        <v>149691.59222710633</v>
      </c>
      <c r="J245" s="11"/>
      <c r="K245" s="7">
        <f t="shared" si="28"/>
        <v>79615.662719402084</v>
      </c>
      <c r="L245" s="7">
        <f>+References!$B$1-Table1[[#This Row],[INTEREST ]]</f>
        <v>918.50046546777889</v>
      </c>
      <c r="M245" s="5">
        <f>+Inputs!$B$11</f>
        <v>100</v>
      </c>
      <c r="N245" s="7">
        <f>+Table1[[#This Row],[BEGINNING BALANCE ]]*Inputs!$B$4/12</f>
        <v>257.09224419806924</v>
      </c>
      <c r="O245" s="7">
        <f>+SUM(Table1[[#This Row],[PRINCIPAL ]:[INTEREST ]])</f>
        <v>1275.5927096658481</v>
      </c>
      <c r="P245" s="7">
        <f>+Table1[[#This Row],[BEGINNING BALANCE ]]-Table1[[#This Row],[PRINCIPAL ]]-Table1[[#This Row],[EXTRA PAYMENT]]</f>
        <v>78597.162253934308</v>
      </c>
      <c r="Q245" s="5">
        <f>+Table1[[#This Row],[PRINCIPAL ]]+Table1[[#This Row],[EXTRA PAYMENT]]+Q244</f>
        <v>171402.83774606563</v>
      </c>
      <c r="R245" s="7">
        <f>+Table1[[#This Row],[INTEREST ]]+R244</f>
        <v>137290.5979930695</v>
      </c>
    </row>
    <row r="246" spans="1:18" x14ac:dyDescent="0.25">
      <c r="A246">
        <f t="shared" si="29"/>
        <v>243</v>
      </c>
      <c r="B246" s="1">
        <f t="shared" si="30"/>
        <v>48000</v>
      </c>
      <c r="C246" s="6">
        <f t="shared" si="31"/>
        <v>115198.15648797109</v>
      </c>
      <c r="D246" s="7">
        <f>PPMT(Inputs!$B$4/12,A246,Inputs!$B$5*12,-'Amortization Table'!$C$4)</f>
        <v>803.59866267344148</v>
      </c>
      <c r="E246" s="7">
        <f>IPMT(Inputs!$B$4/12,'Amortization Table'!A246,Inputs!$B$5*12,-'Amortization Table'!$C$4)</f>
        <v>371.99404699240677</v>
      </c>
      <c r="F246" s="7">
        <f t="shared" si="26"/>
        <v>1175.5927096658484</v>
      </c>
      <c r="G246" s="6">
        <f t="shared" si="27"/>
        <v>114394.55782529766</v>
      </c>
      <c r="H246" s="5">
        <f>+H245+Table1[[#This Row],[PRINCIPAL]]</f>
        <v>135605.44217470221</v>
      </c>
      <c r="I246" s="7">
        <f>Table1[[#This Row],[INTEREST]]+I245</f>
        <v>150063.58627409875</v>
      </c>
      <c r="J246" s="11"/>
      <c r="K246" s="7">
        <f t="shared" si="28"/>
        <v>78597.162253934308</v>
      </c>
      <c r="L246" s="7">
        <f>+References!$B$1-Table1[[#This Row],[INTEREST ]]</f>
        <v>921.78937322085199</v>
      </c>
      <c r="M246" s="5">
        <f>+Inputs!$B$11</f>
        <v>100</v>
      </c>
      <c r="N246" s="7">
        <f>+Table1[[#This Row],[BEGINNING BALANCE ]]*Inputs!$B$4/12</f>
        <v>253.80333644499618</v>
      </c>
      <c r="O246" s="7">
        <f>+SUM(Table1[[#This Row],[PRINCIPAL ]:[INTEREST ]])</f>
        <v>1275.5927096658481</v>
      </c>
      <c r="P246" s="7">
        <f>+Table1[[#This Row],[BEGINNING BALANCE ]]-Table1[[#This Row],[PRINCIPAL ]]-Table1[[#This Row],[EXTRA PAYMENT]]</f>
        <v>77575.372880713461</v>
      </c>
      <c r="Q246" s="5">
        <f>+Table1[[#This Row],[PRINCIPAL ]]+Table1[[#This Row],[EXTRA PAYMENT]]+Q245</f>
        <v>172424.62711928648</v>
      </c>
      <c r="R246" s="7">
        <f>+Table1[[#This Row],[INTEREST ]]+R245</f>
        <v>137544.40132951451</v>
      </c>
    </row>
    <row r="247" spans="1:18" x14ac:dyDescent="0.25">
      <c r="A247">
        <f t="shared" si="29"/>
        <v>244</v>
      </c>
      <c r="B247" s="1">
        <f t="shared" si="30"/>
        <v>48030</v>
      </c>
      <c r="C247" s="6">
        <f t="shared" si="31"/>
        <v>114394.55782529766</v>
      </c>
      <c r="D247" s="7">
        <f>PPMT(Inputs!$B$4/12,A247,Inputs!$B$5*12,-'Amortization Table'!$C$4)</f>
        <v>806.19361668832437</v>
      </c>
      <c r="E247" s="7">
        <f>IPMT(Inputs!$B$4/12,'Amortization Table'!A247,Inputs!$B$5*12,-'Amortization Table'!$C$4)</f>
        <v>369.39909297752376</v>
      </c>
      <c r="F247" s="7">
        <f t="shared" si="26"/>
        <v>1175.5927096658481</v>
      </c>
      <c r="G247" s="6">
        <f t="shared" si="27"/>
        <v>113588.36420860933</v>
      </c>
      <c r="H247" s="5">
        <f>+H246+Table1[[#This Row],[PRINCIPAL]]</f>
        <v>136411.63579139055</v>
      </c>
      <c r="I247" s="7">
        <f>Table1[[#This Row],[INTEREST]]+I246</f>
        <v>150432.98536707627</v>
      </c>
      <c r="J247" s="11"/>
      <c r="K247" s="7">
        <f t="shared" si="28"/>
        <v>77575.372880713461</v>
      </c>
      <c r="L247" s="7">
        <f>+References!$B$1-Table1[[#This Row],[INTEREST ]]</f>
        <v>925.08890140521089</v>
      </c>
      <c r="M247" s="5">
        <f>+Inputs!$B$11</f>
        <v>100</v>
      </c>
      <c r="N247" s="7">
        <f>+Table1[[#This Row],[BEGINNING BALANCE ]]*Inputs!$B$4/12</f>
        <v>250.50380826063721</v>
      </c>
      <c r="O247" s="7">
        <f>+SUM(Table1[[#This Row],[PRINCIPAL ]:[INTEREST ]])</f>
        <v>1275.5927096658481</v>
      </c>
      <c r="P247" s="7">
        <f>+Table1[[#This Row],[BEGINNING BALANCE ]]-Table1[[#This Row],[PRINCIPAL ]]-Table1[[#This Row],[EXTRA PAYMENT]]</f>
        <v>76550.283979308253</v>
      </c>
      <c r="Q247" s="5">
        <f>+Table1[[#This Row],[PRINCIPAL ]]+Table1[[#This Row],[EXTRA PAYMENT]]+Q246</f>
        <v>173449.7160206917</v>
      </c>
      <c r="R247" s="7">
        <f>+Table1[[#This Row],[INTEREST ]]+R246</f>
        <v>137794.90513777515</v>
      </c>
    </row>
    <row r="248" spans="1:18" x14ac:dyDescent="0.25">
      <c r="A248">
        <f t="shared" si="29"/>
        <v>245</v>
      </c>
      <c r="B248" s="1">
        <f t="shared" si="30"/>
        <v>48061</v>
      </c>
      <c r="C248" s="6">
        <f t="shared" si="31"/>
        <v>113588.36420860933</v>
      </c>
      <c r="D248" s="7">
        <f>PPMT(Inputs!$B$4/12,A248,Inputs!$B$5*12,-'Amortization Table'!$C$4)</f>
        <v>808.79695024221371</v>
      </c>
      <c r="E248" s="7">
        <f>IPMT(Inputs!$B$4/12,'Amortization Table'!A248,Inputs!$B$5*12,-'Amortization Table'!$C$4)</f>
        <v>366.79575942363437</v>
      </c>
      <c r="F248" s="7">
        <f t="shared" si="26"/>
        <v>1175.5927096658481</v>
      </c>
      <c r="G248" s="6">
        <f t="shared" si="27"/>
        <v>112779.56725836711</v>
      </c>
      <c r="H248" s="5">
        <f>+H247+Table1[[#This Row],[PRINCIPAL]]</f>
        <v>137220.43274163277</v>
      </c>
      <c r="I248" s="7">
        <f>Table1[[#This Row],[INTEREST]]+I247</f>
        <v>150799.7811264999</v>
      </c>
      <c r="J248" s="11"/>
      <c r="K248" s="7">
        <f t="shared" si="28"/>
        <v>76550.283979308253</v>
      </c>
      <c r="L248" s="7">
        <f>+References!$B$1-Table1[[#This Row],[INTEREST ]]</f>
        <v>928.39908431599861</v>
      </c>
      <c r="M248" s="5">
        <f>+Inputs!$B$11</f>
        <v>100</v>
      </c>
      <c r="N248" s="7">
        <f>+Table1[[#This Row],[BEGINNING BALANCE ]]*Inputs!$B$4/12</f>
        <v>247.19362534984955</v>
      </c>
      <c r="O248" s="7">
        <f>+SUM(Table1[[#This Row],[PRINCIPAL ]:[INTEREST ]])</f>
        <v>1275.5927096658481</v>
      </c>
      <c r="P248" s="7">
        <f>+Table1[[#This Row],[BEGINNING BALANCE ]]-Table1[[#This Row],[PRINCIPAL ]]-Table1[[#This Row],[EXTRA PAYMENT]]</f>
        <v>75521.884894992254</v>
      </c>
      <c r="Q248" s="5">
        <f>+Table1[[#This Row],[PRINCIPAL ]]+Table1[[#This Row],[EXTRA PAYMENT]]+Q247</f>
        <v>174478.11510500769</v>
      </c>
      <c r="R248" s="7">
        <f>+Table1[[#This Row],[INTEREST ]]+R247</f>
        <v>138042.09876312499</v>
      </c>
    </row>
    <row r="249" spans="1:18" x14ac:dyDescent="0.25">
      <c r="A249">
        <f t="shared" si="29"/>
        <v>246</v>
      </c>
      <c r="B249" s="1">
        <f t="shared" si="30"/>
        <v>48092</v>
      </c>
      <c r="C249" s="6">
        <f t="shared" si="31"/>
        <v>112779.56725836711</v>
      </c>
      <c r="D249" s="7">
        <f>PPMT(Inputs!$B$4/12,A249,Inputs!$B$5*12,-'Amortization Table'!$C$4)</f>
        <v>811.40869039403754</v>
      </c>
      <c r="E249" s="7">
        <f>IPMT(Inputs!$B$4/12,'Amortization Table'!A249,Inputs!$B$5*12,-'Amortization Table'!$C$4)</f>
        <v>364.18401927181054</v>
      </c>
      <c r="F249" s="7">
        <f t="shared" si="26"/>
        <v>1175.5927096658481</v>
      </c>
      <c r="G249" s="6">
        <f t="shared" si="27"/>
        <v>111968.15856797308</v>
      </c>
      <c r="H249" s="5">
        <f>+H248+Table1[[#This Row],[PRINCIPAL]]</f>
        <v>138031.84143202682</v>
      </c>
      <c r="I249" s="7">
        <f>Table1[[#This Row],[INTEREST]]+I248</f>
        <v>151163.96514577171</v>
      </c>
      <c r="J249" s="11"/>
      <c r="K249" s="7">
        <f t="shared" si="28"/>
        <v>75521.884894992254</v>
      </c>
      <c r="L249" s="7">
        <f>+References!$B$1-Table1[[#This Row],[INTEREST ]]</f>
        <v>931.7199563591023</v>
      </c>
      <c r="M249" s="5">
        <f>+Inputs!$B$11</f>
        <v>100</v>
      </c>
      <c r="N249" s="7">
        <f>+Table1[[#This Row],[BEGINNING BALANCE ]]*Inputs!$B$4/12</f>
        <v>243.87275330674584</v>
      </c>
      <c r="O249" s="7">
        <f>+SUM(Table1[[#This Row],[PRINCIPAL ]:[INTEREST ]])</f>
        <v>1275.5927096658481</v>
      </c>
      <c r="P249" s="7">
        <f>+Table1[[#This Row],[BEGINNING BALANCE ]]-Table1[[#This Row],[PRINCIPAL ]]-Table1[[#This Row],[EXTRA PAYMENT]]</f>
        <v>74490.164938633156</v>
      </c>
      <c r="Q249" s="5">
        <f>+Table1[[#This Row],[PRINCIPAL ]]+Table1[[#This Row],[EXTRA PAYMENT]]+Q248</f>
        <v>175509.83506136679</v>
      </c>
      <c r="R249" s="7">
        <f>+Table1[[#This Row],[INTEREST ]]+R248</f>
        <v>138285.97151643175</v>
      </c>
    </row>
    <row r="250" spans="1:18" x14ac:dyDescent="0.25">
      <c r="A250">
        <f t="shared" si="29"/>
        <v>247</v>
      </c>
      <c r="B250" s="1">
        <f t="shared" si="30"/>
        <v>48122</v>
      </c>
      <c r="C250" s="6">
        <f t="shared" si="31"/>
        <v>111968.15856797308</v>
      </c>
      <c r="D250" s="7">
        <f>PPMT(Inputs!$B$4/12,A250,Inputs!$B$5*12,-'Amortization Table'!$C$4)</f>
        <v>814.02886429010164</v>
      </c>
      <c r="E250" s="7">
        <f>IPMT(Inputs!$B$4/12,'Amortization Table'!A250,Inputs!$B$5*12,-'Amortization Table'!$C$4)</f>
        <v>361.56384537574644</v>
      </c>
      <c r="F250" s="7">
        <f t="shared" si="26"/>
        <v>1175.5927096658481</v>
      </c>
      <c r="G250" s="6">
        <f t="shared" si="27"/>
        <v>111154.12970368298</v>
      </c>
      <c r="H250" s="5">
        <f>+H249+Table1[[#This Row],[PRINCIPAL]]</f>
        <v>138845.87029631692</v>
      </c>
      <c r="I250" s="7">
        <f>Table1[[#This Row],[INTEREST]]+I249</f>
        <v>151525.52899114747</v>
      </c>
      <c r="J250" s="11"/>
      <c r="K250" s="7">
        <f t="shared" si="28"/>
        <v>74490.164938633156</v>
      </c>
      <c r="L250" s="7">
        <f>+References!$B$1-Table1[[#This Row],[INTEREST ]]</f>
        <v>935.05155205151186</v>
      </c>
      <c r="M250" s="5">
        <f>+Inputs!$B$11</f>
        <v>100</v>
      </c>
      <c r="N250" s="7">
        <f>+Table1[[#This Row],[BEGINNING BALANCE ]]*Inputs!$B$4/12</f>
        <v>240.54115761433624</v>
      </c>
      <c r="O250" s="7">
        <f>+SUM(Table1[[#This Row],[PRINCIPAL ]:[INTEREST ]])</f>
        <v>1275.5927096658481</v>
      </c>
      <c r="P250" s="7">
        <f>+Table1[[#This Row],[BEGINNING BALANCE ]]-Table1[[#This Row],[PRINCIPAL ]]-Table1[[#This Row],[EXTRA PAYMENT]]</f>
        <v>73455.113386581637</v>
      </c>
      <c r="Q250" s="5">
        <f>+Table1[[#This Row],[PRINCIPAL ]]+Table1[[#This Row],[EXTRA PAYMENT]]+Q249</f>
        <v>176544.88661341829</v>
      </c>
      <c r="R250" s="7">
        <f>+Table1[[#This Row],[INTEREST ]]+R249</f>
        <v>138526.51267404607</v>
      </c>
    </row>
    <row r="251" spans="1:18" x14ac:dyDescent="0.25">
      <c r="A251">
        <f t="shared" si="29"/>
        <v>248</v>
      </c>
      <c r="B251" s="1">
        <f t="shared" si="30"/>
        <v>48153</v>
      </c>
      <c r="C251" s="6">
        <f t="shared" si="31"/>
        <v>111154.12970368298</v>
      </c>
      <c r="D251" s="7">
        <f>PPMT(Inputs!$B$4/12,A251,Inputs!$B$5*12,-'Amortization Table'!$C$4)</f>
        <v>816.65749916437176</v>
      </c>
      <c r="E251" s="7">
        <f>IPMT(Inputs!$B$4/12,'Amortization Table'!A251,Inputs!$B$5*12,-'Amortization Table'!$C$4)</f>
        <v>358.93521050147632</v>
      </c>
      <c r="F251" s="7">
        <f t="shared" si="26"/>
        <v>1175.5927096658481</v>
      </c>
      <c r="G251" s="6">
        <f t="shared" si="27"/>
        <v>110337.47220451861</v>
      </c>
      <c r="H251" s="5">
        <f>+H250+Table1[[#This Row],[PRINCIPAL]]</f>
        <v>139662.52779548129</v>
      </c>
      <c r="I251" s="7">
        <f>Table1[[#This Row],[INTEREST]]+I250</f>
        <v>151884.46420164895</v>
      </c>
      <c r="J251" s="11"/>
      <c r="K251" s="7">
        <f t="shared" si="28"/>
        <v>73455.113386581637</v>
      </c>
      <c r="L251" s="7">
        <f>+References!$B$1-Table1[[#This Row],[INTEREST ]]</f>
        <v>938.39390602167828</v>
      </c>
      <c r="M251" s="5">
        <f>+Inputs!$B$11</f>
        <v>100</v>
      </c>
      <c r="N251" s="7">
        <f>+Table1[[#This Row],[BEGINNING BALANCE ]]*Inputs!$B$4/12</f>
        <v>237.19880364416986</v>
      </c>
      <c r="O251" s="7">
        <f>+SUM(Table1[[#This Row],[PRINCIPAL ]:[INTEREST ]])</f>
        <v>1275.5927096658481</v>
      </c>
      <c r="P251" s="7">
        <f>+Table1[[#This Row],[BEGINNING BALANCE ]]-Table1[[#This Row],[PRINCIPAL ]]-Table1[[#This Row],[EXTRA PAYMENT]]</f>
        <v>72416.719480559957</v>
      </c>
      <c r="Q251" s="5">
        <f>+Table1[[#This Row],[PRINCIPAL ]]+Table1[[#This Row],[EXTRA PAYMENT]]+Q250</f>
        <v>177583.28051943996</v>
      </c>
      <c r="R251" s="7">
        <f>+Table1[[#This Row],[INTEREST ]]+R250</f>
        <v>138763.71147769023</v>
      </c>
    </row>
    <row r="252" spans="1:18" x14ac:dyDescent="0.25">
      <c r="A252">
        <f t="shared" si="29"/>
        <v>249</v>
      </c>
      <c r="B252" s="1">
        <f t="shared" si="30"/>
        <v>48183</v>
      </c>
      <c r="C252" s="6">
        <f t="shared" si="31"/>
        <v>110337.47220451861</v>
      </c>
      <c r="D252" s="7">
        <f>PPMT(Inputs!$B$4/12,A252,Inputs!$B$5*12,-'Amortization Table'!$C$4)</f>
        <v>819.29462233875677</v>
      </c>
      <c r="E252" s="7">
        <f>IPMT(Inputs!$B$4/12,'Amortization Table'!A252,Inputs!$B$5*12,-'Amortization Table'!$C$4)</f>
        <v>356.29808732709137</v>
      </c>
      <c r="F252" s="7">
        <f t="shared" si="26"/>
        <v>1175.5927096658481</v>
      </c>
      <c r="G252" s="6">
        <f t="shared" si="27"/>
        <v>109518.17758217985</v>
      </c>
      <c r="H252" s="5">
        <f>+H251+Table1[[#This Row],[PRINCIPAL]]</f>
        <v>140481.82241782005</v>
      </c>
      <c r="I252" s="7">
        <f>Table1[[#This Row],[INTEREST]]+I251</f>
        <v>152240.76228897605</v>
      </c>
      <c r="J252" s="11"/>
      <c r="K252" s="7">
        <f t="shared" si="28"/>
        <v>72416.719480559957</v>
      </c>
      <c r="L252" s="7">
        <f>+References!$B$1-Table1[[#This Row],[INTEREST ]]</f>
        <v>941.7470530098733</v>
      </c>
      <c r="M252" s="5">
        <f>+Inputs!$B$11</f>
        <v>100</v>
      </c>
      <c r="N252" s="7">
        <f>+Table1[[#This Row],[BEGINNING BALANCE ]]*Inputs!$B$4/12</f>
        <v>233.84565665597486</v>
      </c>
      <c r="O252" s="7">
        <f>+SUM(Table1[[#This Row],[PRINCIPAL ]:[INTEREST ]])</f>
        <v>1275.5927096658481</v>
      </c>
      <c r="P252" s="7">
        <f>+Table1[[#This Row],[BEGINNING BALANCE ]]-Table1[[#This Row],[PRINCIPAL ]]-Table1[[#This Row],[EXTRA PAYMENT]]</f>
        <v>71374.972427550078</v>
      </c>
      <c r="Q252" s="5">
        <f>+Table1[[#This Row],[PRINCIPAL ]]+Table1[[#This Row],[EXTRA PAYMENT]]+Q251</f>
        <v>178625.02757244982</v>
      </c>
      <c r="R252" s="7">
        <f>+Table1[[#This Row],[INTEREST ]]+R251</f>
        <v>138997.55713434619</v>
      </c>
    </row>
    <row r="253" spans="1:18" x14ac:dyDescent="0.25">
      <c r="A253">
        <f t="shared" si="29"/>
        <v>250</v>
      </c>
      <c r="B253" s="1">
        <f t="shared" si="30"/>
        <v>48214</v>
      </c>
      <c r="C253" s="6">
        <f t="shared" si="31"/>
        <v>109518.17758217985</v>
      </c>
      <c r="D253" s="7">
        <f>PPMT(Inputs!$B$4/12,A253,Inputs!$B$5*12,-'Amortization Table'!$C$4)</f>
        <v>821.94026122339233</v>
      </c>
      <c r="E253" s="7">
        <f>IPMT(Inputs!$B$4/12,'Amortization Table'!A253,Inputs!$B$5*12,-'Amortization Table'!$C$4)</f>
        <v>353.65244844245581</v>
      </c>
      <c r="F253" s="7">
        <f t="shared" si="26"/>
        <v>1175.5927096658481</v>
      </c>
      <c r="G253" s="6">
        <f t="shared" si="27"/>
        <v>108696.23732095645</v>
      </c>
      <c r="H253" s="5">
        <f>+H252+Table1[[#This Row],[PRINCIPAL]]</f>
        <v>141303.76267904343</v>
      </c>
      <c r="I253" s="7">
        <f>Table1[[#This Row],[INTEREST]]+I252</f>
        <v>152594.4147374185</v>
      </c>
      <c r="J253" s="11"/>
      <c r="K253" s="7">
        <f t="shared" si="28"/>
        <v>71374.972427550078</v>
      </c>
      <c r="L253" s="7">
        <f>+References!$B$1-Table1[[#This Row],[INTEREST ]]</f>
        <v>945.11102786855099</v>
      </c>
      <c r="M253" s="5">
        <f>+Inputs!$B$11</f>
        <v>100</v>
      </c>
      <c r="N253" s="7">
        <f>+Table1[[#This Row],[BEGINNING BALANCE ]]*Inputs!$B$4/12</f>
        <v>230.48168179729714</v>
      </c>
      <c r="O253" s="7">
        <f>+SUM(Table1[[#This Row],[PRINCIPAL ]:[INTEREST ]])</f>
        <v>1275.5927096658481</v>
      </c>
      <c r="P253" s="7">
        <f>+Table1[[#This Row],[BEGINNING BALANCE ]]-Table1[[#This Row],[PRINCIPAL ]]-Table1[[#This Row],[EXTRA PAYMENT]]</f>
        <v>70329.861399681526</v>
      </c>
      <c r="Q253" s="5">
        <f>+Table1[[#This Row],[PRINCIPAL ]]+Table1[[#This Row],[EXTRA PAYMENT]]+Q252</f>
        <v>179670.13860031837</v>
      </c>
      <c r="R253" s="7">
        <f>+Table1[[#This Row],[INTEREST ]]+R252</f>
        <v>139228.0388161435</v>
      </c>
    </row>
    <row r="254" spans="1:18" x14ac:dyDescent="0.25">
      <c r="A254">
        <f t="shared" si="29"/>
        <v>251</v>
      </c>
      <c r="B254" s="1">
        <f t="shared" si="30"/>
        <v>48245</v>
      </c>
      <c r="C254" s="6">
        <f t="shared" si="31"/>
        <v>108696.23732095645</v>
      </c>
      <c r="D254" s="7">
        <f>PPMT(Inputs!$B$4/12,A254,Inputs!$B$5*12,-'Amortization Table'!$C$4)</f>
        <v>824.59444331692623</v>
      </c>
      <c r="E254" s="7">
        <f>IPMT(Inputs!$B$4/12,'Amortization Table'!A254,Inputs!$B$5*12,-'Amortization Table'!$C$4)</f>
        <v>350.99826634892196</v>
      </c>
      <c r="F254" s="7">
        <f t="shared" si="26"/>
        <v>1175.5927096658481</v>
      </c>
      <c r="G254" s="6">
        <f t="shared" si="27"/>
        <v>107871.64287763953</v>
      </c>
      <c r="H254" s="5">
        <f>+H253+Table1[[#This Row],[PRINCIPAL]]</f>
        <v>142128.35712236035</v>
      </c>
      <c r="I254" s="7">
        <f>Table1[[#This Row],[INTEREST]]+I253</f>
        <v>152945.41300376743</v>
      </c>
      <c r="J254" s="11"/>
      <c r="K254" s="7">
        <f t="shared" si="28"/>
        <v>70329.861399681526</v>
      </c>
      <c r="L254" s="7">
        <f>+References!$B$1-Table1[[#This Row],[INTEREST ]]</f>
        <v>948.48586556270982</v>
      </c>
      <c r="M254" s="5">
        <f>+Inputs!$B$11</f>
        <v>100</v>
      </c>
      <c r="N254" s="7">
        <f>+Table1[[#This Row],[BEGINNING BALANCE ]]*Inputs!$B$4/12</f>
        <v>227.10684410313829</v>
      </c>
      <c r="O254" s="7">
        <f>+SUM(Table1[[#This Row],[PRINCIPAL ]:[INTEREST ]])</f>
        <v>1275.5927096658481</v>
      </c>
      <c r="P254" s="7">
        <f>+Table1[[#This Row],[BEGINNING BALANCE ]]-Table1[[#This Row],[PRINCIPAL ]]-Table1[[#This Row],[EXTRA PAYMENT]]</f>
        <v>69281.375534118823</v>
      </c>
      <c r="Q254" s="5">
        <f>+Table1[[#This Row],[PRINCIPAL ]]+Table1[[#This Row],[EXTRA PAYMENT]]+Q253</f>
        <v>180718.62446588109</v>
      </c>
      <c r="R254" s="7">
        <f>+Table1[[#This Row],[INTEREST ]]+R253</f>
        <v>139455.14566024664</v>
      </c>
    </row>
    <row r="255" spans="1:18" x14ac:dyDescent="0.25">
      <c r="A255">
        <f t="shared" si="29"/>
        <v>252</v>
      </c>
      <c r="B255" s="1">
        <f t="shared" si="30"/>
        <v>48274</v>
      </c>
      <c r="C255" s="6">
        <f t="shared" si="31"/>
        <v>107871.64287763953</v>
      </c>
      <c r="D255" s="7">
        <f>PPMT(Inputs!$B$4/12,A255,Inputs!$B$5*12,-'Amortization Table'!$C$4)</f>
        <v>827.25719620680377</v>
      </c>
      <c r="E255" s="7">
        <f>IPMT(Inputs!$B$4/12,'Amortization Table'!A255,Inputs!$B$5*12,-'Amortization Table'!$C$4)</f>
        <v>348.33551345904442</v>
      </c>
      <c r="F255" s="7">
        <f t="shared" si="26"/>
        <v>1175.5927096658481</v>
      </c>
      <c r="G255" s="6">
        <f t="shared" si="27"/>
        <v>107044.38568143273</v>
      </c>
      <c r="H255" s="5">
        <f>+H254+Table1[[#This Row],[PRINCIPAL]]</f>
        <v>142955.61431856715</v>
      </c>
      <c r="I255" s="7">
        <f>Table1[[#This Row],[INTEREST]]+I254</f>
        <v>153293.74851722649</v>
      </c>
      <c r="J255" s="11"/>
      <c r="K255" s="7">
        <f t="shared" si="28"/>
        <v>69281.375534118823</v>
      </c>
      <c r="L255" s="7">
        <f>+References!$B$1-Table1[[#This Row],[INTEREST ]]</f>
        <v>951.8716011702561</v>
      </c>
      <c r="M255" s="5">
        <f>+Inputs!$B$11</f>
        <v>100</v>
      </c>
      <c r="N255" s="7">
        <f>+Table1[[#This Row],[BEGINNING BALANCE ]]*Inputs!$B$4/12</f>
        <v>223.72110849559203</v>
      </c>
      <c r="O255" s="7">
        <f>+SUM(Table1[[#This Row],[PRINCIPAL ]:[INTEREST ]])</f>
        <v>1275.5927096658481</v>
      </c>
      <c r="P255" s="7">
        <f>+Table1[[#This Row],[BEGINNING BALANCE ]]-Table1[[#This Row],[PRINCIPAL ]]-Table1[[#This Row],[EXTRA PAYMENT]]</f>
        <v>68229.503932948573</v>
      </c>
      <c r="Q255" s="5">
        <f>+Table1[[#This Row],[PRINCIPAL ]]+Table1[[#This Row],[EXTRA PAYMENT]]+Q254</f>
        <v>181770.49606705134</v>
      </c>
      <c r="R255" s="7">
        <f>+Table1[[#This Row],[INTEREST ]]+R254</f>
        <v>139678.86676874221</v>
      </c>
    </row>
    <row r="256" spans="1:18" x14ac:dyDescent="0.25">
      <c r="A256">
        <f t="shared" si="29"/>
        <v>253</v>
      </c>
      <c r="B256" s="1">
        <f t="shared" si="30"/>
        <v>48305</v>
      </c>
      <c r="C256" s="6">
        <f t="shared" si="31"/>
        <v>107044.38568143273</v>
      </c>
      <c r="D256" s="7">
        <f>PPMT(Inputs!$B$4/12,A256,Inputs!$B$5*12,-'Amortization Table'!$C$4)</f>
        <v>829.92854756955501</v>
      </c>
      <c r="E256" s="7">
        <f>IPMT(Inputs!$B$4/12,'Amortization Table'!A256,Inputs!$B$5*12,-'Amortization Table'!$C$4)</f>
        <v>345.6641620962933</v>
      </c>
      <c r="F256" s="7">
        <f t="shared" si="26"/>
        <v>1175.5927096658484</v>
      </c>
      <c r="G256" s="6">
        <f t="shared" si="27"/>
        <v>106214.45713386318</v>
      </c>
      <c r="H256" s="5">
        <f>+H255+Table1[[#This Row],[PRINCIPAL]]</f>
        <v>143785.5428661367</v>
      </c>
      <c r="I256" s="7">
        <f>Table1[[#This Row],[INTEREST]]+I255</f>
        <v>153639.41267932279</v>
      </c>
      <c r="J256" s="11"/>
      <c r="K256" s="7">
        <f t="shared" si="28"/>
        <v>68229.503932948573</v>
      </c>
      <c r="L256" s="7">
        <f>+References!$B$1-Table1[[#This Row],[INTEREST ]]</f>
        <v>955.26826988236837</v>
      </c>
      <c r="M256" s="5">
        <f>+Inputs!$B$11</f>
        <v>100</v>
      </c>
      <c r="N256" s="7">
        <f>+Table1[[#This Row],[BEGINNING BALANCE ]]*Inputs!$B$4/12</f>
        <v>220.32443978347976</v>
      </c>
      <c r="O256" s="7">
        <f>+SUM(Table1[[#This Row],[PRINCIPAL ]:[INTEREST ]])</f>
        <v>1275.5927096658479</v>
      </c>
      <c r="P256" s="7">
        <f>+Table1[[#This Row],[BEGINNING BALANCE ]]-Table1[[#This Row],[PRINCIPAL ]]-Table1[[#This Row],[EXTRA PAYMENT]]</f>
        <v>67174.235663066211</v>
      </c>
      <c r="Q256" s="5">
        <f>+Table1[[#This Row],[PRINCIPAL ]]+Table1[[#This Row],[EXTRA PAYMENT]]+Q255</f>
        <v>182825.7643369337</v>
      </c>
      <c r="R256" s="7">
        <f>+Table1[[#This Row],[INTEREST ]]+R255</f>
        <v>139899.19120852571</v>
      </c>
    </row>
    <row r="257" spans="1:18" x14ac:dyDescent="0.25">
      <c r="A257">
        <f t="shared" si="29"/>
        <v>254</v>
      </c>
      <c r="B257" s="1">
        <f t="shared" si="30"/>
        <v>48335</v>
      </c>
      <c r="C257" s="6">
        <f t="shared" si="31"/>
        <v>106214.45713386318</v>
      </c>
      <c r="D257" s="7">
        <f>PPMT(Inputs!$B$4/12,A257,Inputs!$B$5*12,-'Amortization Table'!$C$4)</f>
        <v>832.60852517108162</v>
      </c>
      <c r="E257" s="7">
        <f>IPMT(Inputs!$B$4/12,'Amortization Table'!A257,Inputs!$B$5*12,-'Amortization Table'!$C$4)</f>
        <v>342.98418449476657</v>
      </c>
      <c r="F257" s="7">
        <f t="shared" si="26"/>
        <v>1175.5927096658481</v>
      </c>
      <c r="G257" s="6">
        <f t="shared" si="27"/>
        <v>105381.8486086921</v>
      </c>
      <c r="H257" s="5">
        <f>+H256+Table1[[#This Row],[PRINCIPAL]]</f>
        <v>144618.15139130779</v>
      </c>
      <c r="I257" s="7">
        <f>Table1[[#This Row],[INTEREST]]+I256</f>
        <v>153982.39686381756</v>
      </c>
      <c r="J257" s="11"/>
      <c r="K257" s="7">
        <f t="shared" si="28"/>
        <v>67174.235663066211</v>
      </c>
      <c r="L257" s="7">
        <f>+References!$B$1-Table1[[#This Row],[INTEREST ]]</f>
        <v>958.67590700386347</v>
      </c>
      <c r="M257" s="5">
        <f>+Inputs!$B$11</f>
        <v>100</v>
      </c>
      <c r="N257" s="7">
        <f>+Table1[[#This Row],[BEGINNING BALANCE ]]*Inputs!$B$4/12</f>
        <v>216.91680266198463</v>
      </c>
      <c r="O257" s="7">
        <f>+SUM(Table1[[#This Row],[PRINCIPAL ]:[INTEREST ]])</f>
        <v>1275.5927096658479</v>
      </c>
      <c r="P257" s="7">
        <f>+Table1[[#This Row],[BEGINNING BALANCE ]]-Table1[[#This Row],[PRINCIPAL ]]-Table1[[#This Row],[EXTRA PAYMENT]]</f>
        <v>66115.559756062343</v>
      </c>
      <c r="Q257" s="5">
        <f>+Table1[[#This Row],[PRINCIPAL ]]+Table1[[#This Row],[EXTRA PAYMENT]]+Q256</f>
        <v>183884.44024393757</v>
      </c>
      <c r="R257" s="7">
        <f>+Table1[[#This Row],[INTEREST ]]+R256</f>
        <v>140116.10801118769</v>
      </c>
    </row>
    <row r="258" spans="1:18" x14ac:dyDescent="0.25">
      <c r="A258">
        <f t="shared" si="29"/>
        <v>255</v>
      </c>
      <c r="B258" s="1">
        <f t="shared" si="30"/>
        <v>48366</v>
      </c>
      <c r="C258" s="6">
        <f t="shared" si="31"/>
        <v>105381.8486086921</v>
      </c>
      <c r="D258" s="7">
        <f>PPMT(Inputs!$B$4/12,A258,Inputs!$B$5*12,-'Amortization Table'!$C$4)</f>
        <v>835.29715686694647</v>
      </c>
      <c r="E258" s="7">
        <f>IPMT(Inputs!$B$4/12,'Amortization Table'!A258,Inputs!$B$5*12,-'Amortization Table'!$C$4)</f>
        <v>340.29555279890161</v>
      </c>
      <c r="F258" s="7">
        <f t="shared" si="26"/>
        <v>1175.5927096658481</v>
      </c>
      <c r="G258" s="6">
        <f t="shared" si="27"/>
        <v>104546.55145182516</v>
      </c>
      <c r="H258" s="5">
        <f>+H257+Table1[[#This Row],[PRINCIPAL]]</f>
        <v>145453.44854817475</v>
      </c>
      <c r="I258" s="7">
        <f>Table1[[#This Row],[INTEREST]]+I257</f>
        <v>154322.69241661645</v>
      </c>
      <c r="J258" s="11"/>
      <c r="K258" s="7">
        <f t="shared" si="28"/>
        <v>66115.559756062343</v>
      </c>
      <c r="L258" s="7">
        <f>+References!$B$1-Table1[[#This Row],[INTEREST ]]</f>
        <v>962.09454795356351</v>
      </c>
      <c r="M258" s="5">
        <f>+Inputs!$B$11</f>
        <v>100</v>
      </c>
      <c r="N258" s="7">
        <f>+Table1[[#This Row],[BEGINNING BALANCE ]]*Inputs!$B$4/12</f>
        <v>213.49816171228466</v>
      </c>
      <c r="O258" s="7">
        <f>+SUM(Table1[[#This Row],[PRINCIPAL ]:[INTEREST ]])</f>
        <v>1275.5927096658481</v>
      </c>
      <c r="P258" s="7">
        <f>+Table1[[#This Row],[BEGINNING BALANCE ]]-Table1[[#This Row],[PRINCIPAL ]]-Table1[[#This Row],[EXTRA PAYMENT]]</f>
        <v>65053.465208108777</v>
      </c>
      <c r="Q258" s="5">
        <f>+Table1[[#This Row],[PRINCIPAL ]]+Table1[[#This Row],[EXTRA PAYMENT]]+Q257</f>
        <v>184946.53479189114</v>
      </c>
      <c r="R258" s="7">
        <f>+Table1[[#This Row],[INTEREST ]]+R257</f>
        <v>140329.60617289998</v>
      </c>
    </row>
    <row r="259" spans="1:18" x14ac:dyDescent="0.25">
      <c r="A259">
        <f t="shared" si="29"/>
        <v>256</v>
      </c>
      <c r="B259" s="1">
        <f t="shared" si="30"/>
        <v>48396</v>
      </c>
      <c r="C259" s="6">
        <f t="shared" si="31"/>
        <v>104546.55145182516</v>
      </c>
      <c r="D259" s="7">
        <f>PPMT(Inputs!$B$4/12,A259,Inputs!$B$5*12,-'Amortization Table'!$C$4)</f>
        <v>837.99447060266277</v>
      </c>
      <c r="E259" s="7">
        <f>IPMT(Inputs!$B$4/12,'Amortization Table'!A259,Inputs!$B$5*12,-'Amortization Table'!$C$4)</f>
        <v>337.59823906318547</v>
      </c>
      <c r="F259" s="7">
        <f t="shared" si="26"/>
        <v>1175.5927096658484</v>
      </c>
      <c r="G259" s="6">
        <f t="shared" si="27"/>
        <v>103708.5569812225</v>
      </c>
      <c r="H259" s="5">
        <f>+H258+Table1[[#This Row],[PRINCIPAL]]</f>
        <v>146291.44301877741</v>
      </c>
      <c r="I259" s="7">
        <f>Table1[[#This Row],[INTEREST]]+I258</f>
        <v>154660.29065567965</v>
      </c>
      <c r="J259" s="11"/>
      <c r="K259" s="7">
        <f t="shared" si="28"/>
        <v>65053.465208108777</v>
      </c>
      <c r="L259" s="7">
        <f>+References!$B$1-Table1[[#This Row],[INTEREST ]]</f>
        <v>965.52422826466352</v>
      </c>
      <c r="M259" s="5">
        <f>+Inputs!$B$11</f>
        <v>100</v>
      </c>
      <c r="N259" s="7">
        <f>+Table1[[#This Row],[BEGINNING BALANCE ]]*Inputs!$B$4/12</f>
        <v>210.06848140118458</v>
      </c>
      <c r="O259" s="7">
        <f>+SUM(Table1[[#This Row],[PRINCIPAL ]:[INTEREST ]])</f>
        <v>1275.5927096658481</v>
      </c>
      <c r="P259" s="7">
        <f>+Table1[[#This Row],[BEGINNING BALANCE ]]-Table1[[#This Row],[PRINCIPAL ]]-Table1[[#This Row],[EXTRA PAYMENT]]</f>
        <v>63987.940979844112</v>
      </c>
      <c r="Q259" s="5">
        <f>+Table1[[#This Row],[PRINCIPAL ]]+Table1[[#This Row],[EXTRA PAYMENT]]+Q258</f>
        <v>186012.05902015581</v>
      </c>
      <c r="R259" s="7">
        <f>+Table1[[#This Row],[INTEREST ]]+R258</f>
        <v>140539.67465430117</v>
      </c>
    </row>
    <row r="260" spans="1:18" x14ac:dyDescent="0.25">
      <c r="A260">
        <f t="shared" si="29"/>
        <v>257</v>
      </c>
      <c r="B260" s="1">
        <f t="shared" si="30"/>
        <v>48427</v>
      </c>
      <c r="C260" s="6">
        <f t="shared" si="31"/>
        <v>103708.5569812225</v>
      </c>
      <c r="D260" s="7">
        <f>PPMT(Inputs!$B$4/12,A260,Inputs!$B$5*12,-'Amortization Table'!$C$4)</f>
        <v>840.70049441398385</v>
      </c>
      <c r="E260" s="7">
        <f>IPMT(Inputs!$B$4/12,'Amortization Table'!A260,Inputs!$B$5*12,-'Amortization Table'!$C$4)</f>
        <v>334.89221525186434</v>
      </c>
      <c r="F260" s="7">
        <f t="shared" ref="F260:F323" si="32">+SUM(D260:E260)</f>
        <v>1175.5927096658481</v>
      </c>
      <c r="G260" s="6">
        <f t="shared" ref="G260:G323" si="33">+C260-D260</f>
        <v>102867.85648680852</v>
      </c>
      <c r="H260" s="5">
        <f>+H259+Table1[[#This Row],[PRINCIPAL]]</f>
        <v>147132.1435131914</v>
      </c>
      <c r="I260" s="7">
        <f>Table1[[#This Row],[INTEREST]]+I259</f>
        <v>154995.18287093152</v>
      </c>
      <c r="J260" s="11"/>
      <c r="K260" s="7">
        <f t="shared" si="28"/>
        <v>63987.940979844112</v>
      </c>
      <c r="L260" s="7">
        <f>+References!$B$1-Table1[[#This Row],[INTEREST ]]</f>
        <v>968.96498358510155</v>
      </c>
      <c r="M260" s="5">
        <f>+Inputs!$B$11</f>
        <v>100</v>
      </c>
      <c r="N260" s="7">
        <f>+Table1[[#This Row],[BEGINNING BALANCE ]]*Inputs!$B$4/12</f>
        <v>206.62772608074661</v>
      </c>
      <c r="O260" s="7">
        <f>+SUM(Table1[[#This Row],[PRINCIPAL ]:[INTEREST ]])</f>
        <v>1275.5927096658481</v>
      </c>
      <c r="P260" s="7">
        <f>+Table1[[#This Row],[BEGINNING BALANCE ]]-Table1[[#This Row],[PRINCIPAL ]]-Table1[[#This Row],[EXTRA PAYMENT]]</f>
        <v>62918.975996259011</v>
      </c>
      <c r="Q260" s="5">
        <f>+Table1[[#This Row],[PRINCIPAL ]]+Table1[[#This Row],[EXTRA PAYMENT]]+Q259</f>
        <v>187081.02400374092</v>
      </c>
      <c r="R260" s="7">
        <f>+Table1[[#This Row],[INTEREST ]]+R259</f>
        <v>140746.30238038191</v>
      </c>
    </row>
    <row r="261" spans="1:18" x14ac:dyDescent="0.25">
      <c r="A261">
        <f t="shared" si="29"/>
        <v>258</v>
      </c>
      <c r="B261" s="1">
        <f t="shared" si="30"/>
        <v>48458</v>
      </c>
      <c r="C261" s="6">
        <f t="shared" si="31"/>
        <v>102867.85648680852</v>
      </c>
      <c r="D261" s="7">
        <f>PPMT(Inputs!$B$4/12,A261,Inputs!$B$5*12,-'Amortization Table'!$C$4)</f>
        <v>843.41525642719557</v>
      </c>
      <c r="E261" s="7">
        <f>IPMT(Inputs!$B$4/12,'Amortization Table'!A261,Inputs!$B$5*12,-'Amortization Table'!$C$4)</f>
        <v>332.17745323865256</v>
      </c>
      <c r="F261" s="7">
        <f t="shared" si="32"/>
        <v>1175.5927096658481</v>
      </c>
      <c r="G261" s="6">
        <f t="shared" si="33"/>
        <v>102024.44123038133</v>
      </c>
      <c r="H261" s="5">
        <f>+H260+Table1[[#This Row],[PRINCIPAL]]</f>
        <v>147975.5587696186</v>
      </c>
      <c r="I261" s="7">
        <f>Table1[[#This Row],[INTEREST]]+I260</f>
        <v>155327.36032417018</v>
      </c>
      <c r="J261" s="11"/>
      <c r="K261" s="7">
        <f t="shared" si="28"/>
        <v>62918.975996259011</v>
      </c>
      <c r="L261" s="7">
        <f>+References!$B$1-Table1[[#This Row],[INTEREST ]]</f>
        <v>972.41684967792844</v>
      </c>
      <c r="M261" s="5">
        <f>+Inputs!$B$11</f>
        <v>100</v>
      </c>
      <c r="N261" s="7">
        <f>+Table1[[#This Row],[BEGINNING BALANCE ]]*Inputs!$B$4/12</f>
        <v>203.17585998791972</v>
      </c>
      <c r="O261" s="7">
        <f>+SUM(Table1[[#This Row],[PRINCIPAL ]:[INTEREST ]])</f>
        <v>1275.5927096658481</v>
      </c>
      <c r="P261" s="7">
        <f>+Table1[[#This Row],[BEGINNING BALANCE ]]-Table1[[#This Row],[PRINCIPAL ]]-Table1[[#This Row],[EXTRA PAYMENT]]</f>
        <v>61846.559146581079</v>
      </c>
      <c r="Q261" s="5">
        <f>+Table1[[#This Row],[PRINCIPAL ]]+Table1[[#This Row],[EXTRA PAYMENT]]+Q260</f>
        <v>188153.44085341884</v>
      </c>
      <c r="R261" s="7">
        <f>+Table1[[#This Row],[INTEREST ]]+R260</f>
        <v>140949.47824036982</v>
      </c>
    </row>
    <row r="262" spans="1:18" x14ac:dyDescent="0.25">
      <c r="A262">
        <f t="shared" si="29"/>
        <v>259</v>
      </c>
      <c r="B262" s="1">
        <f t="shared" si="30"/>
        <v>48488</v>
      </c>
      <c r="C262" s="6">
        <f t="shared" si="31"/>
        <v>102024.44123038133</v>
      </c>
      <c r="D262" s="7">
        <f>PPMT(Inputs!$B$4/12,A262,Inputs!$B$5*12,-'Amortization Table'!$C$4)</f>
        <v>846.13878485940836</v>
      </c>
      <c r="E262" s="7">
        <f>IPMT(Inputs!$B$4/12,'Amortization Table'!A262,Inputs!$B$5*12,-'Amortization Table'!$C$4)</f>
        <v>329.45392480643977</v>
      </c>
      <c r="F262" s="7">
        <f t="shared" si="32"/>
        <v>1175.5927096658481</v>
      </c>
      <c r="G262" s="6">
        <f t="shared" si="33"/>
        <v>101178.30244552193</v>
      </c>
      <c r="H262" s="5">
        <f>+H261+Table1[[#This Row],[PRINCIPAL]]</f>
        <v>148821.69755447801</v>
      </c>
      <c r="I262" s="7">
        <f>Table1[[#This Row],[INTEREST]]+I261</f>
        <v>155656.81424897662</v>
      </c>
      <c r="J262" s="11"/>
      <c r="K262" s="7">
        <f t="shared" ref="K262:K325" si="34">+P261</f>
        <v>61846.559146581079</v>
      </c>
      <c r="L262" s="7">
        <f>+References!$B$1-Table1[[#This Row],[INTEREST ]]</f>
        <v>975.87986242168006</v>
      </c>
      <c r="M262" s="5">
        <f>+Inputs!$B$11</f>
        <v>100</v>
      </c>
      <c r="N262" s="7">
        <f>+Table1[[#This Row],[BEGINNING BALANCE ]]*Inputs!$B$4/12</f>
        <v>199.71284724416807</v>
      </c>
      <c r="O262" s="7">
        <f>+SUM(Table1[[#This Row],[PRINCIPAL ]:[INTEREST ]])</f>
        <v>1275.5927096658484</v>
      </c>
      <c r="P262" s="7">
        <f>+Table1[[#This Row],[BEGINNING BALANCE ]]-Table1[[#This Row],[PRINCIPAL ]]-Table1[[#This Row],[EXTRA PAYMENT]]</f>
        <v>60770.6792841594</v>
      </c>
      <c r="Q262" s="5">
        <f>+Table1[[#This Row],[PRINCIPAL ]]+Table1[[#This Row],[EXTRA PAYMENT]]+Q261</f>
        <v>189229.32071584053</v>
      </c>
      <c r="R262" s="7">
        <f>+Table1[[#This Row],[INTEREST ]]+R261</f>
        <v>141149.19108761399</v>
      </c>
    </row>
    <row r="263" spans="1:18" x14ac:dyDescent="0.25">
      <c r="A263">
        <f t="shared" si="29"/>
        <v>260</v>
      </c>
      <c r="B263" s="1">
        <f t="shared" si="30"/>
        <v>48519</v>
      </c>
      <c r="C263" s="6">
        <f t="shared" si="31"/>
        <v>101178.30244552193</v>
      </c>
      <c r="D263" s="7">
        <f>PPMT(Inputs!$B$4/12,A263,Inputs!$B$5*12,-'Amortization Table'!$C$4)</f>
        <v>848.87110801885024</v>
      </c>
      <c r="E263" s="7">
        <f>IPMT(Inputs!$B$4/12,'Amortization Table'!A263,Inputs!$B$5*12,-'Amortization Table'!$C$4)</f>
        <v>326.7216016469979</v>
      </c>
      <c r="F263" s="7">
        <f t="shared" si="32"/>
        <v>1175.5927096658481</v>
      </c>
      <c r="G263" s="6">
        <f t="shared" si="33"/>
        <v>100329.43133750308</v>
      </c>
      <c r="H263" s="5">
        <f>+H262+Table1[[#This Row],[PRINCIPAL]]</f>
        <v>149670.56866249687</v>
      </c>
      <c r="I263" s="7">
        <f>Table1[[#This Row],[INTEREST]]+I262</f>
        <v>155983.53585062362</v>
      </c>
      <c r="J263" s="11"/>
      <c r="K263" s="7">
        <f t="shared" si="34"/>
        <v>60770.6792841594</v>
      </c>
      <c r="L263" s="7">
        <f>+References!$B$1-Table1[[#This Row],[INTEREST ]]</f>
        <v>979.35405781075008</v>
      </c>
      <c r="M263" s="5">
        <f>+Inputs!$B$11</f>
        <v>100</v>
      </c>
      <c r="N263" s="7">
        <f>+Table1[[#This Row],[BEGINNING BALANCE ]]*Inputs!$B$4/12</f>
        <v>196.23865185509806</v>
      </c>
      <c r="O263" s="7">
        <f>+SUM(Table1[[#This Row],[PRINCIPAL ]:[INTEREST ]])</f>
        <v>1275.5927096658479</v>
      </c>
      <c r="P263" s="7">
        <f>+Table1[[#This Row],[BEGINNING BALANCE ]]-Table1[[#This Row],[PRINCIPAL ]]-Table1[[#This Row],[EXTRA PAYMENT]]</f>
        <v>59691.32522634865</v>
      </c>
      <c r="Q263" s="5">
        <f>+Table1[[#This Row],[PRINCIPAL ]]+Table1[[#This Row],[EXTRA PAYMENT]]+Q262</f>
        <v>190308.67477365129</v>
      </c>
      <c r="R263" s="7">
        <f>+Table1[[#This Row],[INTEREST ]]+R262</f>
        <v>141345.42973946908</v>
      </c>
    </row>
    <row r="264" spans="1:18" x14ac:dyDescent="0.25">
      <c r="A264">
        <f t="shared" si="29"/>
        <v>261</v>
      </c>
      <c r="B264" s="1">
        <f t="shared" si="30"/>
        <v>48549</v>
      </c>
      <c r="C264" s="6">
        <f t="shared" si="31"/>
        <v>100329.43133750308</v>
      </c>
      <c r="D264" s="7">
        <f>PPMT(Inputs!$B$4/12,A264,Inputs!$B$5*12,-'Amortization Table'!$C$4)</f>
        <v>851.61225430516117</v>
      </c>
      <c r="E264" s="7">
        <f>IPMT(Inputs!$B$4/12,'Amortization Table'!A264,Inputs!$B$5*12,-'Amortization Table'!$C$4)</f>
        <v>323.98045536068702</v>
      </c>
      <c r="F264" s="7">
        <f t="shared" si="32"/>
        <v>1175.5927096658481</v>
      </c>
      <c r="G264" s="6">
        <f t="shared" si="33"/>
        <v>99477.819083197915</v>
      </c>
      <c r="H264" s="5">
        <f>+H263+Table1[[#This Row],[PRINCIPAL]]</f>
        <v>150522.18091680203</v>
      </c>
      <c r="I264" s="7">
        <f>Table1[[#This Row],[INTEREST]]+I263</f>
        <v>156307.51630598432</v>
      </c>
      <c r="J264" s="11"/>
      <c r="K264" s="7">
        <f t="shared" si="34"/>
        <v>59691.32522634865</v>
      </c>
      <c r="L264" s="7">
        <f>+References!$B$1-Table1[[#This Row],[INTEREST ]]</f>
        <v>982.839471955764</v>
      </c>
      <c r="M264" s="5">
        <f>+Inputs!$B$11</f>
        <v>100</v>
      </c>
      <c r="N264" s="7">
        <f>+Table1[[#This Row],[BEGINNING BALANCE ]]*Inputs!$B$4/12</f>
        <v>192.75323771008416</v>
      </c>
      <c r="O264" s="7">
        <f>+SUM(Table1[[#This Row],[PRINCIPAL ]:[INTEREST ]])</f>
        <v>1275.5927096658484</v>
      </c>
      <c r="P264" s="7">
        <f>+Table1[[#This Row],[BEGINNING BALANCE ]]-Table1[[#This Row],[PRINCIPAL ]]-Table1[[#This Row],[EXTRA PAYMENT]]</f>
        <v>58608.485754392888</v>
      </c>
      <c r="Q264" s="5">
        <f>+Table1[[#This Row],[PRINCIPAL ]]+Table1[[#This Row],[EXTRA PAYMENT]]+Q263</f>
        <v>191391.51424560705</v>
      </c>
      <c r="R264" s="7">
        <f>+Table1[[#This Row],[INTEREST ]]+R263</f>
        <v>141538.18297717915</v>
      </c>
    </row>
    <row r="265" spans="1:18" x14ac:dyDescent="0.25">
      <c r="A265">
        <f t="shared" si="29"/>
        <v>262</v>
      </c>
      <c r="B265" s="1">
        <f t="shared" si="30"/>
        <v>48580</v>
      </c>
      <c r="C265" s="6">
        <f t="shared" si="31"/>
        <v>99477.819083197915</v>
      </c>
      <c r="D265" s="7">
        <f>PPMT(Inputs!$B$4/12,A265,Inputs!$B$5*12,-'Amortization Table'!$C$4)</f>
        <v>854.36225220968822</v>
      </c>
      <c r="E265" s="7">
        <f>IPMT(Inputs!$B$4/12,'Amortization Table'!A265,Inputs!$B$5*12,-'Amortization Table'!$C$4)</f>
        <v>321.23045745615991</v>
      </c>
      <c r="F265" s="7">
        <f t="shared" si="32"/>
        <v>1175.5927096658481</v>
      </c>
      <c r="G265" s="6">
        <f t="shared" si="33"/>
        <v>98623.456830988231</v>
      </c>
      <c r="H265" s="5">
        <f>+H264+Table1[[#This Row],[PRINCIPAL]]</f>
        <v>151376.54316901171</v>
      </c>
      <c r="I265" s="7">
        <f>Table1[[#This Row],[INTEREST]]+I264</f>
        <v>156628.74676344049</v>
      </c>
      <c r="J265" s="11"/>
      <c r="K265" s="7">
        <f t="shared" si="34"/>
        <v>58608.485754392888</v>
      </c>
      <c r="L265" s="7">
        <f>+References!$B$1-Table1[[#This Row],[INTEREST ]]</f>
        <v>986.33614108395443</v>
      </c>
      <c r="M265" s="5">
        <f>+Inputs!$B$11</f>
        <v>100</v>
      </c>
      <c r="N265" s="7">
        <f>+Table1[[#This Row],[BEGINNING BALANCE ]]*Inputs!$B$4/12</f>
        <v>189.2565685818937</v>
      </c>
      <c r="O265" s="7">
        <f>+SUM(Table1[[#This Row],[PRINCIPAL ]:[INTEREST ]])</f>
        <v>1275.5927096658479</v>
      </c>
      <c r="P265" s="7">
        <f>+Table1[[#This Row],[BEGINNING BALANCE ]]-Table1[[#This Row],[PRINCIPAL ]]-Table1[[#This Row],[EXTRA PAYMENT]]</f>
        <v>57522.149613308931</v>
      </c>
      <c r="Q265" s="5">
        <f>+Table1[[#This Row],[PRINCIPAL ]]+Table1[[#This Row],[EXTRA PAYMENT]]+Q264</f>
        <v>192477.85038669099</v>
      </c>
      <c r="R265" s="7">
        <f>+Table1[[#This Row],[INTEREST ]]+R264</f>
        <v>141727.43954576104</v>
      </c>
    </row>
    <row r="266" spans="1:18" x14ac:dyDescent="0.25">
      <c r="A266">
        <f t="shared" si="29"/>
        <v>263</v>
      </c>
      <c r="B266" s="1">
        <f t="shared" si="30"/>
        <v>48611</v>
      </c>
      <c r="C266" s="6">
        <f t="shared" si="31"/>
        <v>98623.456830988231</v>
      </c>
      <c r="D266" s="7">
        <f>PPMT(Inputs!$B$4/12,A266,Inputs!$B$5*12,-'Amortization Table'!$C$4)</f>
        <v>857.12113031578201</v>
      </c>
      <c r="E266" s="7">
        <f>IPMT(Inputs!$B$4/12,'Amortization Table'!A266,Inputs!$B$5*12,-'Amortization Table'!$C$4)</f>
        <v>318.47157935006618</v>
      </c>
      <c r="F266" s="7">
        <f t="shared" si="32"/>
        <v>1175.5927096658481</v>
      </c>
      <c r="G266" s="6">
        <f t="shared" si="33"/>
        <v>97766.335700672455</v>
      </c>
      <c r="H266" s="5">
        <f>+H265+Table1[[#This Row],[PRINCIPAL]]</f>
        <v>152233.6642993275</v>
      </c>
      <c r="I266" s="7">
        <f>Table1[[#This Row],[INTEREST]]+I265</f>
        <v>156947.21834279055</v>
      </c>
      <c r="J266" s="11"/>
      <c r="K266" s="7">
        <f t="shared" si="34"/>
        <v>57522.149613308931</v>
      </c>
      <c r="L266" s="7">
        <f>+References!$B$1-Table1[[#This Row],[INTEREST ]]</f>
        <v>989.84410153953809</v>
      </c>
      <c r="M266" s="5">
        <f>+Inputs!$B$11</f>
        <v>100</v>
      </c>
      <c r="N266" s="7">
        <f>+Table1[[#This Row],[BEGINNING BALANCE ]]*Inputs!$B$4/12</f>
        <v>185.74860812631007</v>
      </c>
      <c r="O266" s="7">
        <f>+SUM(Table1[[#This Row],[PRINCIPAL ]:[INTEREST ]])</f>
        <v>1275.5927096658481</v>
      </c>
      <c r="P266" s="7">
        <f>+Table1[[#This Row],[BEGINNING BALANCE ]]-Table1[[#This Row],[PRINCIPAL ]]-Table1[[#This Row],[EXTRA PAYMENT]]</f>
        <v>56432.305511769395</v>
      </c>
      <c r="Q266" s="5">
        <f>+Table1[[#This Row],[PRINCIPAL ]]+Table1[[#This Row],[EXTRA PAYMENT]]+Q265</f>
        <v>193567.69448823054</v>
      </c>
      <c r="R266" s="7">
        <f>+Table1[[#This Row],[INTEREST ]]+R265</f>
        <v>141913.18815388734</v>
      </c>
    </row>
    <row r="267" spans="1:18" x14ac:dyDescent="0.25">
      <c r="A267">
        <f t="shared" si="29"/>
        <v>264</v>
      </c>
      <c r="B267" s="1">
        <f t="shared" si="30"/>
        <v>48639</v>
      </c>
      <c r="C267" s="6">
        <f t="shared" si="31"/>
        <v>97766.335700672455</v>
      </c>
      <c r="D267" s="7">
        <f>PPMT(Inputs!$B$4/12,A267,Inputs!$B$5*12,-'Amortization Table'!$C$4)</f>
        <v>859.88891729909335</v>
      </c>
      <c r="E267" s="7">
        <f>IPMT(Inputs!$B$4/12,'Amortization Table'!A267,Inputs!$B$5*12,-'Amortization Table'!$C$4)</f>
        <v>315.70379236675473</v>
      </c>
      <c r="F267" s="7">
        <f t="shared" si="32"/>
        <v>1175.5927096658481</v>
      </c>
      <c r="G267" s="6">
        <f t="shared" si="33"/>
        <v>96906.446783373365</v>
      </c>
      <c r="H267" s="5">
        <f>+H266+Table1[[#This Row],[PRINCIPAL]]</f>
        <v>153093.55321662661</v>
      </c>
      <c r="I267" s="7">
        <f>Table1[[#This Row],[INTEREST]]+I266</f>
        <v>157262.92213515731</v>
      </c>
      <c r="J267" s="11"/>
      <c r="K267" s="7">
        <f t="shared" si="34"/>
        <v>56432.305511769395</v>
      </c>
      <c r="L267" s="7">
        <f>+References!$B$1-Table1[[#This Row],[INTEREST ]]</f>
        <v>993.36338978409276</v>
      </c>
      <c r="M267" s="5">
        <f>+Inputs!$B$11</f>
        <v>100</v>
      </c>
      <c r="N267" s="7">
        <f>+Table1[[#This Row],[BEGINNING BALANCE ]]*Inputs!$B$4/12</f>
        <v>182.22931988175534</v>
      </c>
      <c r="O267" s="7">
        <f>+SUM(Table1[[#This Row],[PRINCIPAL ]:[INTEREST ]])</f>
        <v>1275.5927096658481</v>
      </c>
      <c r="P267" s="7">
        <f>+Table1[[#This Row],[BEGINNING BALANCE ]]-Table1[[#This Row],[PRINCIPAL ]]-Table1[[#This Row],[EXTRA PAYMENT]]</f>
        <v>55338.942121985303</v>
      </c>
      <c r="Q267" s="5">
        <f>+Table1[[#This Row],[PRINCIPAL ]]+Table1[[#This Row],[EXTRA PAYMENT]]+Q266</f>
        <v>194661.05787801463</v>
      </c>
      <c r="R267" s="7">
        <f>+Table1[[#This Row],[INTEREST ]]+R266</f>
        <v>142095.41747376911</v>
      </c>
    </row>
    <row r="268" spans="1:18" x14ac:dyDescent="0.25">
      <c r="A268">
        <f t="shared" si="29"/>
        <v>265</v>
      </c>
      <c r="B268" s="1">
        <f t="shared" si="30"/>
        <v>48670</v>
      </c>
      <c r="C268" s="6">
        <f t="shared" si="31"/>
        <v>96906.446783373365</v>
      </c>
      <c r="D268" s="7">
        <f>PPMT(Inputs!$B$4/12,A268,Inputs!$B$5*12,-'Amortization Table'!$C$4)</f>
        <v>862.66564192787166</v>
      </c>
      <c r="E268" s="7">
        <f>IPMT(Inputs!$B$4/12,'Amortization Table'!A268,Inputs!$B$5*12,-'Amortization Table'!$C$4)</f>
        <v>312.92706773797642</v>
      </c>
      <c r="F268" s="7">
        <f t="shared" si="32"/>
        <v>1175.5927096658481</v>
      </c>
      <c r="G268" s="6">
        <f t="shared" si="33"/>
        <v>96043.781141445492</v>
      </c>
      <c r="H268" s="5">
        <f>+H267+Table1[[#This Row],[PRINCIPAL]]</f>
        <v>153956.21885855446</v>
      </c>
      <c r="I268" s="7">
        <f>Table1[[#This Row],[INTEREST]]+I267</f>
        <v>157575.84920289528</v>
      </c>
      <c r="J268" s="11"/>
      <c r="K268" s="7">
        <f t="shared" si="34"/>
        <v>55338.942121985303</v>
      </c>
      <c r="L268" s="7">
        <f>+References!$B$1-Table1[[#This Row],[INTEREST ]]</f>
        <v>996.89404239693727</v>
      </c>
      <c r="M268" s="5">
        <f>+Inputs!$B$11</f>
        <v>100</v>
      </c>
      <c r="N268" s="7">
        <f>+Table1[[#This Row],[BEGINNING BALANCE ]]*Inputs!$B$4/12</f>
        <v>178.69866726891087</v>
      </c>
      <c r="O268" s="7">
        <f>+SUM(Table1[[#This Row],[PRINCIPAL ]:[INTEREST ]])</f>
        <v>1275.5927096658481</v>
      </c>
      <c r="P268" s="7">
        <f>+Table1[[#This Row],[BEGINNING BALANCE ]]-Table1[[#This Row],[PRINCIPAL ]]-Table1[[#This Row],[EXTRA PAYMENT]]</f>
        <v>54242.048079588363</v>
      </c>
      <c r="Q268" s="5">
        <f>+Table1[[#This Row],[PRINCIPAL ]]+Table1[[#This Row],[EXTRA PAYMENT]]+Q267</f>
        <v>195757.95192041158</v>
      </c>
      <c r="R268" s="7">
        <f>+Table1[[#This Row],[INTEREST ]]+R267</f>
        <v>142274.11614103802</v>
      </c>
    </row>
    <row r="269" spans="1:18" x14ac:dyDescent="0.25">
      <c r="A269">
        <f t="shared" si="29"/>
        <v>266</v>
      </c>
      <c r="B269" s="1">
        <f t="shared" si="30"/>
        <v>48700</v>
      </c>
      <c r="C269" s="6">
        <f t="shared" si="31"/>
        <v>96043.781141445492</v>
      </c>
      <c r="D269" s="7">
        <f>PPMT(Inputs!$B$4/12,A269,Inputs!$B$5*12,-'Amortization Table'!$C$4)</f>
        <v>865.45133306326375</v>
      </c>
      <c r="E269" s="7">
        <f>IPMT(Inputs!$B$4/12,'Amortization Table'!A269,Inputs!$B$5*12,-'Amortization Table'!$C$4)</f>
        <v>310.14137660258433</v>
      </c>
      <c r="F269" s="7">
        <f t="shared" si="32"/>
        <v>1175.5927096658481</v>
      </c>
      <c r="G269" s="6">
        <f t="shared" si="33"/>
        <v>95178.32980838223</v>
      </c>
      <c r="H269" s="5">
        <f>+H268+Table1[[#This Row],[PRINCIPAL]]</f>
        <v>154821.67019161774</v>
      </c>
      <c r="I269" s="7">
        <f>Table1[[#This Row],[INTEREST]]+I268</f>
        <v>157885.99057949785</v>
      </c>
      <c r="J269" s="11"/>
      <c r="K269" s="7">
        <f t="shared" si="34"/>
        <v>54242.048079588363</v>
      </c>
      <c r="L269" s="7">
        <f>+References!$B$1-Table1[[#This Row],[INTEREST ]]</f>
        <v>1000.4360960755107</v>
      </c>
      <c r="M269" s="5">
        <f>+Inputs!$B$11</f>
        <v>100</v>
      </c>
      <c r="N269" s="7">
        <f>+Table1[[#This Row],[BEGINNING BALANCE ]]*Inputs!$B$4/12</f>
        <v>175.15661359033743</v>
      </c>
      <c r="O269" s="7">
        <f>+SUM(Table1[[#This Row],[PRINCIPAL ]:[INTEREST ]])</f>
        <v>1275.5927096658481</v>
      </c>
      <c r="P269" s="7">
        <f>+Table1[[#This Row],[BEGINNING BALANCE ]]-Table1[[#This Row],[PRINCIPAL ]]-Table1[[#This Row],[EXTRA PAYMENT]]</f>
        <v>53141.611983512856</v>
      </c>
      <c r="Q269" s="5">
        <f>+Table1[[#This Row],[PRINCIPAL ]]+Table1[[#This Row],[EXTRA PAYMENT]]+Q268</f>
        <v>196858.38801648709</v>
      </c>
      <c r="R269" s="7">
        <f>+Table1[[#This Row],[INTEREST ]]+R268</f>
        <v>142449.27275462836</v>
      </c>
    </row>
    <row r="270" spans="1:18" x14ac:dyDescent="0.25">
      <c r="A270">
        <f t="shared" si="29"/>
        <v>267</v>
      </c>
      <c r="B270" s="1">
        <f t="shared" si="30"/>
        <v>48731</v>
      </c>
      <c r="C270" s="6">
        <f t="shared" si="31"/>
        <v>95178.32980838223</v>
      </c>
      <c r="D270" s="7">
        <f>PPMT(Inputs!$B$4/12,A270,Inputs!$B$5*12,-'Amortization Table'!$C$4)</f>
        <v>868.24601965961392</v>
      </c>
      <c r="E270" s="7">
        <f>IPMT(Inputs!$B$4/12,'Amortization Table'!A270,Inputs!$B$5*12,-'Amortization Table'!$C$4)</f>
        <v>307.34669000623421</v>
      </c>
      <c r="F270" s="7">
        <f t="shared" si="32"/>
        <v>1175.5927096658481</v>
      </c>
      <c r="G270" s="6">
        <f t="shared" si="33"/>
        <v>94310.083788722623</v>
      </c>
      <c r="H270" s="5">
        <f>+H269+Table1[[#This Row],[PRINCIPAL]]</f>
        <v>155689.91621127736</v>
      </c>
      <c r="I270" s="7">
        <f>Table1[[#This Row],[INTEREST]]+I269</f>
        <v>158193.33726950409</v>
      </c>
      <c r="J270" s="11"/>
      <c r="K270" s="7">
        <f t="shared" si="34"/>
        <v>53141.611983512856</v>
      </c>
      <c r="L270" s="7">
        <f>+References!$B$1-Table1[[#This Row],[INTEREST ]]</f>
        <v>1003.9895876357546</v>
      </c>
      <c r="M270" s="5">
        <f>+Inputs!$B$11</f>
        <v>100</v>
      </c>
      <c r="N270" s="7">
        <f>+Table1[[#This Row],[BEGINNING BALANCE ]]*Inputs!$B$4/12</f>
        <v>171.6031220300936</v>
      </c>
      <c r="O270" s="7">
        <f>+SUM(Table1[[#This Row],[PRINCIPAL ]:[INTEREST ]])</f>
        <v>1275.5927096658481</v>
      </c>
      <c r="P270" s="7">
        <f>+Table1[[#This Row],[BEGINNING BALANCE ]]-Table1[[#This Row],[PRINCIPAL ]]-Table1[[#This Row],[EXTRA PAYMENT]]</f>
        <v>52037.622395877101</v>
      </c>
      <c r="Q270" s="5">
        <f>+Table1[[#This Row],[PRINCIPAL ]]+Table1[[#This Row],[EXTRA PAYMENT]]+Q269</f>
        <v>197962.37760412286</v>
      </c>
      <c r="R270" s="7">
        <f>+Table1[[#This Row],[INTEREST ]]+R269</f>
        <v>142620.87587665845</v>
      </c>
    </row>
    <row r="271" spans="1:18" x14ac:dyDescent="0.25">
      <c r="A271">
        <f t="shared" si="29"/>
        <v>268</v>
      </c>
      <c r="B271" s="1">
        <f t="shared" si="30"/>
        <v>48761</v>
      </c>
      <c r="C271" s="6">
        <f t="shared" si="31"/>
        <v>94310.083788722623</v>
      </c>
      <c r="D271" s="7">
        <f>PPMT(Inputs!$B$4/12,A271,Inputs!$B$5*12,-'Amortization Table'!$C$4)</f>
        <v>871.0497307647646</v>
      </c>
      <c r="E271" s="7">
        <f>IPMT(Inputs!$B$4/12,'Amortization Table'!A271,Inputs!$B$5*12,-'Amortization Table'!$C$4)</f>
        <v>304.54297890108336</v>
      </c>
      <c r="F271" s="7">
        <f t="shared" si="32"/>
        <v>1175.5927096658479</v>
      </c>
      <c r="G271" s="6">
        <f t="shared" si="33"/>
        <v>93439.034057957862</v>
      </c>
      <c r="H271" s="5">
        <f>+H270+Table1[[#This Row],[PRINCIPAL]]</f>
        <v>156560.96594204212</v>
      </c>
      <c r="I271" s="7">
        <f>Table1[[#This Row],[INTEREST]]+I270</f>
        <v>158497.88024840518</v>
      </c>
      <c r="J271" s="11"/>
      <c r="K271" s="7">
        <f t="shared" si="34"/>
        <v>52037.622395877101</v>
      </c>
      <c r="L271" s="7">
        <f>+References!$B$1-Table1[[#This Row],[INTEREST ]]</f>
        <v>1007.554554012495</v>
      </c>
      <c r="M271" s="5">
        <f>+Inputs!$B$11</f>
        <v>100</v>
      </c>
      <c r="N271" s="7">
        <f>+Table1[[#This Row],[BEGINNING BALANCE ]]*Inputs!$B$4/12</f>
        <v>168.03815565335313</v>
      </c>
      <c r="O271" s="7">
        <f>+SUM(Table1[[#This Row],[PRINCIPAL ]:[INTEREST ]])</f>
        <v>1275.5927096658481</v>
      </c>
      <c r="P271" s="7">
        <f>+Table1[[#This Row],[BEGINNING BALANCE ]]-Table1[[#This Row],[PRINCIPAL ]]-Table1[[#This Row],[EXTRA PAYMENT]]</f>
        <v>50930.067841864606</v>
      </c>
      <c r="Q271" s="5">
        <f>+Table1[[#This Row],[PRINCIPAL ]]+Table1[[#This Row],[EXTRA PAYMENT]]+Q270</f>
        <v>199069.93215813534</v>
      </c>
      <c r="R271" s="7">
        <f>+Table1[[#This Row],[INTEREST ]]+R270</f>
        <v>142788.91403231179</v>
      </c>
    </row>
    <row r="272" spans="1:18" x14ac:dyDescent="0.25">
      <c r="A272">
        <f t="shared" si="29"/>
        <v>269</v>
      </c>
      <c r="B272" s="1">
        <f t="shared" si="30"/>
        <v>48792</v>
      </c>
      <c r="C272" s="6">
        <f t="shared" si="31"/>
        <v>93439.034057957862</v>
      </c>
      <c r="D272" s="7">
        <f>PPMT(Inputs!$B$4/12,A272,Inputs!$B$5*12,-'Amortization Table'!$C$4)</f>
        <v>873.8624955203594</v>
      </c>
      <c r="E272" s="7">
        <f>IPMT(Inputs!$B$4/12,'Amortization Table'!A272,Inputs!$B$5*12,-'Amortization Table'!$C$4)</f>
        <v>301.73021414548884</v>
      </c>
      <c r="F272" s="7">
        <f t="shared" si="32"/>
        <v>1175.5927096658484</v>
      </c>
      <c r="G272" s="6">
        <f t="shared" si="33"/>
        <v>92565.171562437507</v>
      </c>
      <c r="H272" s="5">
        <f>+H271+Table1[[#This Row],[PRINCIPAL]]</f>
        <v>157434.82843756248</v>
      </c>
      <c r="I272" s="7">
        <f>Table1[[#This Row],[INTEREST]]+I271</f>
        <v>158799.61046255069</v>
      </c>
      <c r="J272" s="11"/>
      <c r="K272" s="7">
        <f t="shared" si="34"/>
        <v>50930.067841864606</v>
      </c>
      <c r="L272" s="7">
        <f>+References!$B$1-Table1[[#This Row],[INTEREST ]]</f>
        <v>1011.131032259827</v>
      </c>
      <c r="M272" s="5">
        <f>+Inputs!$B$11</f>
        <v>100</v>
      </c>
      <c r="N272" s="7">
        <f>+Table1[[#This Row],[BEGINNING BALANCE ]]*Inputs!$B$4/12</f>
        <v>164.46167740602112</v>
      </c>
      <c r="O272" s="7">
        <f>+SUM(Table1[[#This Row],[PRINCIPAL ]:[INTEREST ]])</f>
        <v>1275.5927096658481</v>
      </c>
      <c r="P272" s="7">
        <f>+Table1[[#This Row],[BEGINNING BALANCE ]]-Table1[[#This Row],[PRINCIPAL ]]-Table1[[#This Row],[EXTRA PAYMENT]]</f>
        <v>49818.936809604776</v>
      </c>
      <c r="Q272" s="5">
        <f>+Table1[[#This Row],[PRINCIPAL ]]+Table1[[#This Row],[EXTRA PAYMENT]]+Q271</f>
        <v>200181.06319039516</v>
      </c>
      <c r="R272" s="7">
        <f>+Table1[[#This Row],[INTEREST ]]+R271</f>
        <v>142953.3757097178</v>
      </c>
    </row>
    <row r="273" spans="1:18" x14ac:dyDescent="0.25">
      <c r="A273">
        <f t="shared" si="29"/>
        <v>270</v>
      </c>
      <c r="B273" s="1">
        <f t="shared" si="30"/>
        <v>48823</v>
      </c>
      <c r="C273" s="6">
        <f t="shared" si="31"/>
        <v>92565.171562437507</v>
      </c>
      <c r="D273" s="7">
        <f>PPMT(Inputs!$B$4/12,A273,Inputs!$B$5*12,-'Amortization Table'!$C$4)</f>
        <v>876.6843431621437</v>
      </c>
      <c r="E273" s="7">
        <f>IPMT(Inputs!$B$4/12,'Amortization Table'!A273,Inputs!$B$5*12,-'Amortization Table'!$C$4)</f>
        <v>298.90836650370437</v>
      </c>
      <c r="F273" s="7">
        <f t="shared" si="32"/>
        <v>1175.5927096658481</v>
      </c>
      <c r="G273" s="6">
        <f t="shared" si="33"/>
        <v>91688.487219275368</v>
      </c>
      <c r="H273" s="5">
        <f>+H272+Table1[[#This Row],[PRINCIPAL]]</f>
        <v>158311.51278072462</v>
      </c>
      <c r="I273" s="7">
        <f>Table1[[#This Row],[INTEREST]]+I272</f>
        <v>159098.5188290544</v>
      </c>
      <c r="J273" s="11"/>
      <c r="K273" s="7">
        <f t="shared" si="34"/>
        <v>49818.936809604776</v>
      </c>
      <c r="L273" s="7">
        <f>+References!$B$1-Table1[[#This Row],[INTEREST ]]</f>
        <v>1014.7190595514994</v>
      </c>
      <c r="M273" s="5">
        <f>+Inputs!$B$11</f>
        <v>100</v>
      </c>
      <c r="N273" s="7">
        <f>+Table1[[#This Row],[BEGINNING BALANCE ]]*Inputs!$B$4/12</f>
        <v>160.87365011434875</v>
      </c>
      <c r="O273" s="7">
        <f>+SUM(Table1[[#This Row],[PRINCIPAL ]:[INTEREST ]])</f>
        <v>1275.5927096658481</v>
      </c>
      <c r="P273" s="7">
        <f>+Table1[[#This Row],[BEGINNING BALANCE ]]-Table1[[#This Row],[PRINCIPAL ]]-Table1[[#This Row],[EXTRA PAYMENT]]</f>
        <v>48704.217750053278</v>
      </c>
      <c r="Q273" s="5">
        <f>+Table1[[#This Row],[PRINCIPAL ]]+Table1[[#This Row],[EXTRA PAYMENT]]+Q272</f>
        <v>201295.78224994667</v>
      </c>
      <c r="R273" s="7">
        <f>+Table1[[#This Row],[INTEREST ]]+R272</f>
        <v>143114.24935983215</v>
      </c>
    </row>
    <row r="274" spans="1:18" x14ac:dyDescent="0.25">
      <c r="A274">
        <f t="shared" si="29"/>
        <v>271</v>
      </c>
      <c r="B274" s="1">
        <f t="shared" si="30"/>
        <v>48853</v>
      </c>
      <c r="C274" s="6">
        <f t="shared" si="31"/>
        <v>91688.487219275368</v>
      </c>
      <c r="D274" s="7">
        <f>PPMT(Inputs!$B$4/12,A274,Inputs!$B$5*12,-'Amortization Table'!$C$4)</f>
        <v>879.51530302027163</v>
      </c>
      <c r="E274" s="7">
        <f>IPMT(Inputs!$B$4/12,'Amortization Table'!A274,Inputs!$B$5*12,-'Amortization Table'!$C$4)</f>
        <v>296.07740664557662</v>
      </c>
      <c r="F274" s="7">
        <f t="shared" si="32"/>
        <v>1175.5927096658484</v>
      </c>
      <c r="G274" s="6">
        <f t="shared" si="33"/>
        <v>90808.97191625509</v>
      </c>
      <c r="H274" s="5">
        <f>+H273+Table1[[#This Row],[PRINCIPAL]]</f>
        <v>159191.0280837449</v>
      </c>
      <c r="I274" s="7">
        <f>Table1[[#This Row],[INTEREST]]+I273</f>
        <v>159394.59623569998</v>
      </c>
      <c r="J274" s="11"/>
      <c r="K274" s="7">
        <f t="shared" si="34"/>
        <v>48704.217750053278</v>
      </c>
      <c r="L274" s="7">
        <f>+References!$B$1-Table1[[#This Row],[INTEREST ]]</f>
        <v>1018.3186731813011</v>
      </c>
      <c r="M274" s="5">
        <f>+Inputs!$B$11</f>
        <v>100</v>
      </c>
      <c r="N274" s="7">
        <f>+Table1[[#This Row],[BEGINNING BALANCE ]]*Inputs!$B$4/12</f>
        <v>157.27403648454705</v>
      </c>
      <c r="O274" s="7">
        <f>+SUM(Table1[[#This Row],[PRINCIPAL ]:[INTEREST ]])</f>
        <v>1275.5927096658481</v>
      </c>
      <c r="P274" s="7">
        <f>+Table1[[#This Row],[BEGINNING BALANCE ]]-Table1[[#This Row],[PRINCIPAL ]]-Table1[[#This Row],[EXTRA PAYMENT]]</f>
        <v>47585.899076871974</v>
      </c>
      <c r="Q274" s="5">
        <f>+Table1[[#This Row],[PRINCIPAL ]]+Table1[[#This Row],[EXTRA PAYMENT]]+Q273</f>
        <v>202414.10092312796</v>
      </c>
      <c r="R274" s="7">
        <f>+Table1[[#This Row],[INTEREST ]]+R273</f>
        <v>143271.52339631668</v>
      </c>
    </row>
    <row r="275" spans="1:18" x14ac:dyDescent="0.25">
      <c r="A275">
        <f t="shared" si="29"/>
        <v>272</v>
      </c>
      <c r="B275" s="1">
        <f t="shared" si="30"/>
        <v>48884</v>
      </c>
      <c r="C275" s="6">
        <f t="shared" si="31"/>
        <v>90808.97191625509</v>
      </c>
      <c r="D275" s="7">
        <f>PPMT(Inputs!$B$4/12,A275,Inputs!$B$5*12,-'Amortization Table'!$C$4)</f>
        <v>882.35540451960776</v>
      </c>
      <c r="E275" s="7">
        <f>IPMT(Inputs!$B$4/12,'Amortization Table'!A275,Inputs!$B$5*12,-'Amortization Table'!$C$4)</f>
        <v>293.23730514624032</v>
      </c>
      <c r="F275" s="7">
        <f t="shared" si="32"/>
        <v>1175.5927096658481</v>
      </c>
      <c r="G275" s="6">
        <f t="shared" si="33"/>
        <v>89926.616511735483</v>
      </c>
      <c r="H275" s="5">
        <f>+H274+Table1[[#This Row],[PRINCIPAL]]</f>
        <v>160073.38348826452</v>
      </c>
      <c r="I275" s="7">
        <f>Table1[[#This Row],[INTEREST]]+I274</f>
        <v>159687.83354084622</v>
      </c>
      <c r="J275" s="11"/>
      <c r="K275" s="7">
        <f t="shared" si="34"/>
        <v>47585.899076871974</v>
      </c>
      <c r="L275" s="7">
        <f>+References!$B$1-Table1[[#This Row],[INTEREST ]]</f>
        <v>1021.9299105634491</v>
      </c>
      <c r="M275" s="5">
        <f>+Inputs!$B$11</f>
        <v>100</v>
      </c>
      <c r="N275" s="7">
        <f>+Table1[[#This Row],[BEGINNING BALANCE ]]*Inputs!$B$4/12</f>
        <v>153.66279910239908</v>
      </c>
      <c r="O275" s="7">
        <f>+SUM(Table1[[#This Row],[PRINCIPAL ]:[INTEREST ]])</f>
        <v>1275.5927096658481</v>
      </c>
      <c r="P275" s="7">
        <f>+Table1[[#This Row],[BEGINNING BALANCE ]]-Table1[[#This Row],[PRINCIPAL ]]-Table1[[#This Row],[EXTRA PAYMENT]]</f>
        <v>46463.969166308525</v>
      </c>
      <c r="Q275" s="5">
        <f>+Table1[[#This Row],[PRINCIPAL ]]+Table1[[#This Row],[EXTRA PAYMENT]]+Q274</f>
        <v>203536.03083369142</v>
      </c>
      <c r="R275" s="7">
        <f>+Table1[[#This Row],[INTEREST ]]+R274</f>
        <v>143425.18619541908</v>
      </c>
    </row>
    <row r="276" spans="1:18" x14ac:dyDescent="0.25">
      <c r="A276">
        <f t="shared" si="29"/>
        <v>273</v>
      </c>
      <c r="B276" s="1">
        <f t="shared" si="30"/>
        <v>48914</v>
      </c>
      <c r="C276" s="6">
        <f t="shared" si="31"/>
        <v>89926.616511735483</v>
      </c>
      <c r="D276" s="7">
        <f>PPMT(Inputs!$B$4/12,A276,Inputs!$B$5*12,-'Amortization Table'!$C$4)</f>
        <v>885.20467718003567</v>
      </c>
      <c r="E276" s="7">
        <f>IPMT(Inputs!$B$4/12,'Amortization Table'!A276,Inputs!$B$5*12,-'Amortization Table'!$C$4)</f>
        <v>290.3880324858124</v>
      </c>
      <c r="F276" s="7">
        <f t="shared" si="32"/>
        <v>1175.5927096658481</v>
      </c>
      <c r="G276" s="6">
        <f t="shared" si="33"/>
        <v>89041.411834555445</v>
      </c>
      <c r="H276" s="5">
        <f>+H275+Table1[[#This Row],[PRINCIPAL]]</f>
        <v>160958.58816544455</v>
      </c>
      <c r="I276" s="7">
        <f>Table1[[#This Row],[INTEREST]]+I275</f>
        <v>159978.22157333203</v>
      </c>
      <c r="J276" s="11"/>
      <c r="K276" s="7">
        <f t="shared" si="34"/>
        <v>46463.969166308525</v>
      </c>
      <c r="L276" s="7">
        <f>+References!$B$1-Table1[[#This Row],[INTEREST ]]</f>
        <v>1025.5528092329769</v>
      </c>
      <c r="M276" s="5">
        <f>+Inputs!$B$11</f>
        <v>100</v>
      </c>
      <c r="N276" s="7">
        <f>+Table1[[#This Row],[BEGINNING BALANCE ]]*Inputs!$B$4/12</f>
        <v>150.03990043287129</v>
      </c>
      <c r="O276" s="7">
        <f>+SUM(Table1[[#This Row],[PRINCIPAL ]:[INTEREST ]])</f>
        <v>1275.5927096658481</v>
      </c>
      <c r="P276" s="7">
        <f>+Table1[[#This Row],[BEGINNING BALANCE ]]-Table1[[#This Row],[PRINCIPAL ]]-Table1[[#This Row],[EXTRA PAYMENT]]</f>
        <v>45338.416357075548</v>
      </c>
      <c r="Q276" s="5">
        <f>+Table1[[#This Row],[PRINCIPAL ]]+Table1[[#This Row],[EXTRA PAYMENT]]+Q275</f>
        <v>204661.58364292438</v>
      </c>
      <c r="R276" s="7">
        <f>+Table1[[#This Row],[INTEREST ]]+R275</f>
        <v>143575.22609585195</v>
      </c>
    </row>
    <row r="277" spans="1:18" x14ac:dyDescent="0.25">
      <c r="A277">
        <f t="shared" si="29"/>
        <v>274</v>
      </c>
      <c r="B277" s="1">
        <f t="shared" si="30"/>
        <v>48945</v>
      </c>
      <c r="C277" s="6">
        <f t="shared" si="31"/>
        <v>89041.411834555445</v>
      </c>
      <c r="D277" s="7">
        <f>PPMT(Inputs!$B$4/12,A277,Inputs!$B$5*12,-'Amortization Table'!$C$4)</f>
        <v>888.06315061676287</v>
      </c>
      <c r="E277" s="7">
        <f>IPMT(Inputs!$B$4/12,'Amortization Table'!A277,Inputs!$B$5*12,-'Amortization Table'!$C$4)</f>
        <v>287.52955904908521</v>
      </c>
      <c r="F277" s="7">
        <f t="shared" si="32"/>
        <v>1175.5927096658481</v>
      </c>
      <c r="G277" s="6">
        <f t="shared" si="33"/>
        <v>88153.348683938675</v>
      </c>
      <c r="H277" s="5">
        <f>+H276+Table1[[#This Row],[PRINCIPAL]]</f>
        <v>161846.65131606132</v>
      </c>
      <c r="I277" s="7">
        <f>Table1[[#This Row],[INTEREST]]+I276</f>
        <v>160265.75113238112</v>
      </c>
      <c r="J277" s="11"/>
      <c r="K277" s="7">
        <f t="shared" si="34"/>
        <v>45338.416357075548</v>
      </c>
      <c r="L277" s="7">
        <f>+References!$B$1-Table1[[#This Row],[INTEREST ]]</f>
        <v>1029.187406846125</v>
      </c>
      <c r="M277" s="5">
        <f>+Inputs!$B$11</f>
        <v>100</v>
      </c>
      <c r="N277" s="7">
        <f>+Table1[[#This Row],[BEGINNING BALANCE ]]*Inputs!$B$4/12</f>
        <v>146.40530281972312</v>
      </c>
      <c r="O277" s="7">
        <f>+SUM(Table1[[#This Row],[PRINCIPAL ]:[INTEREST ]])</f>
        <v>1275.5927096658481</v>
      </c>
      <c r="P277" s="7">
        <f>+Table1[[#This Row],[BEGINNING BALANCE ]]-Table1[[#This Row],[PRINCIPAL ]]-Table1[[#This Row],[EXTRA PAYMENT]]</f>
        <v>44209.228950229422</v>
      </c>
      <c r="Q277" s="5">
        <f>+Table1[[#This Row],[PRINCIPAL ]]+Table1[[#This Row],[EXTRA PAYMENT]]+Q276</f>
        <v>205790.7710497705</v>
      </c>
      <c r="R277" s="7">
        <f>+Table1[[#This Row],[INTEREST ]]+R276</f>
        <v>143721.63139867166</v>
      </c>
    </row>
    <row r="278" spans="1:18" x14ac:dyDescent="0.25">
      <c r="A278">
        <f t="shared" si="29"/>
        <v>275</v>
      </c>
      <c r="B278" s="1">
        <f t="shared" si="30"/>
        <v>48976</v>
      </c>
      <c r="C278" s="6">
        <f t="shared" si="31"/>
        <v>88153.348683938675</v>
      </c>
      <c r="D278" s="7">
        <f>PPMT(Inputs!$B$4/12,A278,Inputs!$B$5*12,-'Amortization Table'!$C$4)</f>
        <v>890.93085454062953</v>
      </c>
      <c r="E278" s="7">
        <f>IPMT(Inputs!$B$4/12,'Amortization Table'!A278,Inputs!$B$5*12,-'Amortization Table'!$C$4)</f>
        <v>284.66185512521855</v>
      </c>
      <c r="F278" s="7">
        <f t="shared" si="32"/>
        <v>1175.5927096658481</v>
      </c>
      <c r="G278" s="6">
        <f t="shared" si="33"/>
        <v>87262.417829398051</v>
      </c>
      <c r="H278" s="5">
        <f>+H277+Table1[[#This Row],[PRINCIPAL]]</f>
        <v>162737.58217060196</v>
      </c>
      <c r="I278" s="7">
        <f>Table1[[#This Row],[INTEREST]]+I277</f>
        <v>160550.41298750634</v>
      </c>
      <c r="J278" s="11"/>
      <c r="K278" s="7">
        <f t="shared" si="34"/>
        <v>44209.228950229422</v>
      </c>
      <c r="L278" s="7">
        <f>+References!$B$1-Table1[[#This Row],[INTEREST ]]</f>
        <v>1032.8337411807322</v>
      </c>
      <c r="M278" s="5">
        <f>+Inputs!$B$11</f>
        <v>100</v>
      </c>
      <c r="N278" s="7">
        <f>+Table1[[#This Row],[BEGINNING BALANCE ]]*Inputs!$B$4/12</f>
        <v>142.75896848511584</v>
      </c>
      <c r="O278" s="7">
        <f>+SUM(Table1[[#This Row],[PRINCIPAL ]:[INTEREST ]])</f>
        <v>1275.5927096658481</v>
      </c>
      <c r="P278" s="7">
        <f>+Table1[[#This Row],[BEGINNING BALANCE ]]-Table1[[#This Row],[PRINCIPAL ]]-Table1[[#This Row],[EXTRA PAYMENT]]</f>
        <v>43076.395209048693</v>
      </c>
      <c r="Q278" s="5">
        <f>+Table1[[#This Row],[PRINCIPAL ]]+Table1[[#This Row],[EXTRA PAYMENT]]+Q277</f>
        <v>206923.60479095124</v>
      </c>
      <c r="R278" s="7">
        <f>+Table1[[#This Row],[INTEREST ]]+R277</f>
        <v>143864.39036715677</v>
      </c>
    </row>
    <row r="279" spans="1:18" x14ac:dyDescent="0.25">
      <c r="A279">
        <f t="shared" si="29"/>
        <v>276</v>
      </c>
      <c r="B279" s="1">
        <f t="shared" si="30"/>
        <v>49004</v>
      </c>
      <c r="C279" s="6">
        <f t="shared" si="31"/>
        <v>87262.417829398051</v>
      </c>
      <c r="D279" s="7">
        <f>PPMT(Inputs!$B$4/12,A279,Inputs!$B$5*12,-'Amortization Table'!$C$4)</f>
        <v>893.80781875841706</v>
      </c>
      <c r="E279" s="7">
        <f>IPMT(Inputs!$B$4/12,'Amortization Table'!A279,Inputs!$B$5*12,-'Amortization Table'!$C$4)</f>
        <v>281.78489090743113</v>
      </c>
      <c r="F279" s="7">
        <f t="shared" si="32"/>
        <v>1175.5927096658481</v>
      </c>
      <c r="G279" s="6">
        <f t="shared" si="33"/>
        <v>86368.610010639633</v>
      </c>
      <c r="H279" s="5">
        <f>+H278+Table1[[#This Row],[PRINCIPAL]]</f>
        <v>163631.38998936038</v>
      </c>
      <c r="I279" s="7">
        <f>Table1[[#This Row],[INTEREST]]+I278</f>
        <v>160832.19787841378</v>
      </c>
      <c r="J279" s="11"/>
      <c r="K279" s="7">
        <f t="shared" si="34"/>
        <v>43076.395209048693</v>
      </c>
      <c r="L279" s="7">
        <f>+References!$B$1-Table1[[#This Row],[INTEREST ]]</f>
        <v>1036.4918501366285</v>
      </c>
      <c r="M279" s="5">
        <f>+Inputs!$B$11</f>
        <v>100</v>
      </c>
      <c r="N279" s="7">
        <f>+Table1[[#This Row],[BEGINNING BALANCE ]]*Inputs!$B$4/12</f>
        <v>139.10085952921972</v>
      </c>
      <c r="O279" s="7">
        <f>+SUM(Table1[[#This Row],[PRINCIPAL ]:[INTEREST ]])</f>
        <v>1275.5927096658481</v>
      </c>
      <c r="P279" s="7">
        <f>+Table1[[#This Row],[BEGINNING BALANCE ]]-Table1[[#This Row],[PRINCIPAL ]]-Table1[[#This Row],[EXTRA PAYMENT]]</f>
        <v>41939.903358912066</v>
      </c>
      <c r="Q279" s="5">
        <f>+Table1[[#This Row],[PRINCIPAL ]]+Table1[[#This Row],[EXTRA PAYMENT]]+Q278</f>
        <v>208060.09664108788</v>
      </c>
      <c r="R279" s="7">
        <f>+Table1[[#This Row],[INTEREST ]]+R278</f>
        <v>144003.49122668599</v>
      </c>
    </row>
    <row r="280" spans="1:18" x14ac:dyDescent="0.25">
      <c r="A280">
        <f t="shared" si="29"/>
        <v>277</v>
      </c>
      <c r="B280" s="1">
        <f t="shared" si="30"/>
        <v>49035</v>
      </c>
      <c r="C280" s="6">
        <f t="shared" si="31"/>
        <v>86368.610010639633</v>
      </c>
      <c r="D280" s="7">
        <f>PPMT(Inputs!$B$4/12,A280,Inputs!$B$5*12,-'Amortization Table'!$C$4)</f>
        <v>896.69407317315779</v>
      </c>
      <c r="E280" s="7">
        <f>IPMT(Inputs!$B$4/12,'Amortization Table'!A280,Inputs!$B$5*12,-'Amortization Table'!$C$4)</f>
        <v>278.8986364926904</v>
      </c>
      <c r="F280" s="7">
        <f t="shared" si="32"/>
        <v>1175.5927096658481</v>
      </c>
      <c r="G280" s="6">
        <f t="shared" si="33"/>
        <v>85471.915937466474</v>
      </c>
      <c r="H280" s="5">
        <f>+H279+Table1[[#This Row],[PRINCIPAL]]</f>
        <v>164528.08406253354</v>
      </c>
      <c r="I280" s="7">
        <f>Table1[[#This Row],[INTEREST]]+I279</f>
        <v>161111.09651490647</v>
      </c>
      <c r="J280" s="11"/>
      <c r="K280" s="7">
        <f t="shared" si="34"/>
        <v>41939.903358912066</v>
      </c>
      <c r="L280" s="7">
        <f>+References!$B$1-Table1[[#This Row],[INTEREST ]]</f>
        <v>1040.161771736028</v>
      </c>
      <c r="M280" s="5">
        <f>+Inputs!$B$11</f>
        <v>100</v>
      </c>
      <c r="N280" s="7">
        <f>+Table1[[#This Row],[BEGINNING BALANCE ]]*Inputs!$B$4/12</f>
        <v>135.4309379298202</v>
      </c>
      <c r="O280" s="7">
        <f>+SUM(Table1[[#This Row],[PRINCIPAL ]:[INTEREST ]])</f>
        <v>1275.5927096658481</v>
      </c>
      <c r="P280" s="7">
        <f>+Table1[[#This Row],[BEGINNING BALANCE ]]-Table1[[#This Row],[PRINCIPAL ]]-Table1[[#This Row],[EXTRA PAYMENT]]</f>
        <v>40799.741587176039</v>
      </c>
      <c r="Q280" s="5">
        <f>+Table1[[#This Row],[PRINCIPAL ]]+Table1[[#This Row],[EXTRA PAYMENT]]+Q279</f>
        <v>209200.2584128239</v>
      </c>
      <c r="R280" s="7">
        <f>+Table1[[#This Row],[INTEREST ]]+R279</f>
        <v>144138.9221646158</v>
      </c>
    </row>
    <row r="281" spans="1:18" x14ac:dyDescent="0.25">
      <c r="A281">
        <f t="shared" si="29"/>
        <v>278</v>
      </c>
      <c r="B281" s="1">
        <f t="shared" si="30"/>
        <v>49065</v>
      </c>
      <c r="C281" s="6">
        <f t="shared" si="31"/>
        <v>85471.915937466474</v>
      </c>
      <c r="D281" s="7">
        <f>PPMT(Inputs!$B$4/12,A281,Inputs!$B$5*12,-'Amortization Table'!$C$4)</f>
        <v>899.5896477844459</v>
      </c>
      <c r="E281" s="7">
        <f>IPMT(Inputs!$B$4/12,'Amortization Table'!A281,Inputs!$B$5*12,-'Amortization Table'!$C$4)</f>
        <v>276.003061881402</v>
      </c>
      <c r="F281" s="7">
        <f t="shared" si="32"/>
        <v>1175.5927096658479</v>
      </c>
      <c r="G281" s="6">
        <f t="shared" si="33"/>
        <v>84572.326289682023</v>
      </c>
      <c r="H281" s="5">
        <f>+H280+Table1[[#This Row],[PRINCIPAL]]</f>
        <v>165427.67371031799</v>
      </c>
      <c r="I281" s="7">
        <f>Table1[[#This Row],[INTEREST]]+I280</f>
        <v>161387.09957678788</v>
      </c>
      <c r="J281" s="11"/>
      <c r="K281" s="7">
        <f t="shared" si="34"/>
        <v>40799.741587176039</v>
      </c>
      <c r="L281" s="7">
        <f>+References!$B$1-Table1[[#This Row],[INTEREST ]]</f>
        <v>1043.8435441239255</v>
      </c>
      <c r="M281" s="5">
        <f>+Inputs!$B$11</f>
        <v>100</v>
      </c>
      <c r="N281" s="7">
        <f>+Table1[[#This Row],[BEGINNING BALANCE ]]*Inputs!$B$4/12</f>
        <v>131.74916554192262</v>
      </c>
      <c r="O281" s="7">
        <f>+SUM(Table1[[#This Row],[PRINCIPAL ]:[INTEREST ]])</f>
        <v>1275.5927096658481</v>
      </c>
      <c r="P281" s="7">
        <f>+Table1[[#This Row],[BEGINNING BALANCE ]]-Table1[[#This Row],[PRINCIPAL ]]-Table1[[#This Row],[EXTRA PAYMENT]]</f>
        <v>39655.898043052111</v>
      </c>
      <c r="Q281" s="5">
        <f>+Table1[[#This Row],[PRINCIPAL ]]+Table1[[#This Row],[EXTRA PAYMENT]]+Q280</f>
        <v>210344.10195694782</v>
      </c>
      <c r="R281" s="7">
        <f>+Table1[[#This Row],[INTEREST ]]+R280</f>
        <v>144270.67133015773</v>
      </c>
    </row>
    <row r="282" spans="1:18" x14ac:dyDescent="0.25">
      <c r="A282">
        <f t="shared" si="29"/>
        <v>279</v>
      </c>
      <c r="B282" s="1">
        <f t="shared" si="30"/>
        <v>49096</v>
      </c>
      <c r="C282" s="6">
        <f t="shared" si="31"/>
        <v>84572.326289682023</v>
      </c>
      <c r="D282" s="7">
        <f>PPMT(Inputs!$B$4/12,A282,Inputs!$B$5*12,-'Amortization Table'!$C$4)</f>
        <v>902.49457268874994</v>
      </c>
      <c r="E282" s="7">
        <f>IPMT(Inputs!$B$4/12,'Amortization Table'!A282,Inputs!$B$5*12,-'Amortization Table'!$C$4)</f>
        <v>273.09813697709808</v>
      </c>
      <c r="F282" s="7">
        <f t="shared" si="32"/>
        <v>1175.5927096658479</v>
      </c>
      <c r="G282" s="6">
        <f t="shared" si="33"/>
        <v>83669.831716993271</v>
      </c>
      <c r="H282" s="5">
        <f>+H281+Table1[[#This Row],[PRINCIPAL]]</f>
        <v>166330.16828300673</v>
      </c>
      <c r="I282" s="7">
        <f>Table1[[#This Row],[INTEREST]]+I281</f>
        <v>161660.19771376497</v>
      </c>
      <c r="J282" s="11"/>
      <c r="K282" s="7">
        <f t="shared" si="34"/>
        <v>39655.898043052111</v>
      </c>
      <c r="L282" s="7">
        <f>+References!$B$1-Table1[[#This Row],[INTEREST ]]</f>
        <v>1047.5372055684923</v>
      </c>
      <c r="M282" s="5">
        <f>+Inputs!$B$11</f>
        <v>100</v>
      </c>
      <c r="N282" s="7">
        <f>+Table1[[#This Row],[BEGINNING BALANCE ]]*Inputs!$B$4/12</f>
        <v>128.05550409735579</v>
      </c>
      <c r="O282" s="7">
        <f>+SUM(Table1[[#This Row],[PRINCIPAL ]:[INTEREST ]])</f>
        <v>1275.5927096658481</v>
      </c>
      <c r="P282" s="7">
        <f>+Table1[[#This Row],[BEGINNING BALANCE ]]-Table1[[#This Row],[PRINCIPAL ]]-Table1[[#This Row],[EXTRA PAYMENT]]</f>
        <v>38508.360837483619</v>
      </c>
      <c r="Q282" s="5">
        <f>+Table1[[#This Row],[PRINCIPAL ]]+Table1[[#This Row],[EXTRA PAYMENT]]+Q281</f>
        <v>211491.63916251631</v>
      </c>
      <c r="R282" s="7">
        <f>+Table1[[#This Row],[INTEREST ]]+R281</f>
        <v>144398.72683425507</v>
      </c>
    </row>
    <row r="283" spans="1:18" x14ac:dyDescent="0.25">
      <c r="A283">
        <f t="shared" si="29"/>
        <v>280</v>
      </c>
      <c r="B283" s="1">
        <f t="shared" si="30"/>
        <v>49126</v>
      </c>
      <c r="C283" s="6">
        <f t="shared" si="31"/>
        <v>83669.831716993271</v>
      </c>
      <c r="D283" s="7">
        <f>PPMT(Inputs!$B$4/12,A283,Inputs!$B$5*12,-'Amortization Table'!$C$4)</f>
        <v>905.4088780797241</v>
      </c>
      <c r="E283" s="7">
        <f>IPMT(Inputs!$B$4/12,'Amortization Table'!A283,Inputs!$B$5*12,-'Amortization Table'!$C$4)</f>
        <v>270.18383158612403</v>
      </c>
      <c r="F283" s="7">
        <f t="shared" si="32"/>
        <v>1175.5927096658481</v>
      </c>
      <c r="G283" s="6">
        <f t="shared" si="33"/>
        <v>82764.422838913553</v>
      </c>
      <c r="H283" s="5">
        <f>+H282+Table1[[#This Row],[PRINCIPAL]]</f>
        <v>167235.57716108646</v>
      </c>
      <c r="I283" s="7">
        <f>Table1[[#This Row],[INTEREST]]+I282</f>
        <v>161930.38154535109</v>
      </c>
      <c r="J283" s="11"/>
      <c r="K283" s="7">
        <f t="shared" si="34"/>
        <v>38508.360837483619</v>
      </c>
      <c r="L283" s="7">
        <f>+References!$B$1-Table1[[#This Row],[INTEREST ]]</f>
        <v>1051.242794461474</v>
      </c>
      <c r="M283" s="5">
        <f>+Inputs!$B$11</f>
        <v>100</v>
      </c>
      <c r="N283" s="7">
        <f>+Table1[[#This Row],[BEGINNING BALANCE ]]*Inputs!$B$4/12</f>
        <v>124.34991520437417</v>
      </c>
      <c r="O283" s="7">
        <f>+SUM(Table1[[#This Row],[PRINCIPAL ]:[INTEREST ]])</f>
        <v>1275.5927096658481</v>
      </c>
      <c r="P283" s="7">
        <f>+Table1[[#This Row],[BEGINNING BALANCE ]]-Table1[[#This Row],[PRINCIPAL ]]-Table1[[#This Row],[EXTRA PAYMENT]]</f>
        <v>37357.118043022143</v>
      </c>
      <c r="Q283" s="5">
        <f>+Table1[[#This Row],[PRINCIPAL ]]+Table1[[#This Row],[EXTRA PAYMENT]]+Q282</f>
        <v>212642.88195697777</v>
      </c>
      <c r="R283" s="7">
        <f>+Table1[[#This Row],[INTEREST ]]+R282</f>
        <v>144523.07674945943</v>
      </c>
    </row>
    <row r="284" spans="1:18" x14ac:dyDescent="0.25">
      <c r="A284">
        <f t="shared" si="29"/>
        <v>281</v>
      </c>
      <c r="B284" s="1">
        <f t="shared" si="30"/>
        <v>49157</v>
      </c>
      <c r="C284" s="6">
        <f t="shared" si="31"/>
        <v>82764.422838913553</v>
      </c>
      <c r="D284" s="7">
        <f>PPMT(Inputs!$B$4/12,A284,Inputs!$B$5*12,-'Amortization Table'!$C$4)</f>
        <v>908.33259424852304</v>
      </c>
      <c r="E284" s="7">
        <f>IPMT(Inputs!$B$4/12,'Amortization Table'!A284,Inputs!$B$5*12,-'Amortization Table'!$C$4)</f>
        <v>267.26011541732493</v>
      </c>
      <c r="F284" s="7">
        <f t="shared" si="32"/>
        <v>1175.5927096658479</v>
      </c>
      <c r="G284" s="6">
        <f t="shared" si="33"/>
        <v>81856.090244665029</v>
      </c>
      <c r="H284" s="5">
        <f>+H283+Table1[[#This Row],[PRINCIPAL]]</f>
        <v>168143.90975533499</v>
      </c>
      <c r="I284" s="7">
        <f>Table1[[#This Row],[INTEREST]]+I283</f>
        <v>162197.64166076842</v>
      </c>
      <c r="J284" s="11"/>
      <c r="K284" s="7">
        <f t="shared" si="34"/>
        <v>37357.118043022143</v>
      </c>
      <c r="L284" s="7">
        <f>+References!$B$1-Table1[[#This Row],[INTEREST ]]</f>
        <v>1054.9603493185891</v>
      </c>
      <c r="M284" s="5">
        <f>+Inputs!$B$11</f>
        <v>100</v>
      </c>
      <c r="N284" s="7">
        <f>+Table1[[#This Row],[BEGINNING BALANCE ]]*Inputs!$B$4/12</f>
        <v>120.63236034725901</v>
      </c>
      <c r="O284" s="7">
        <f>+SUM(Table1[[#This Row],[PRINCIPAL ]:[INTEREST ]])</f>
        <v>1275.5927096658481</v>
      </c>
      <c r="P284" s="7">
        <f>+Table1[[#This Row],[BEGINNING BALANCE ]]-Table1[[#This Row],[PRINCIPAL ]]-Table1[[#This Row],[EXTRA PAYMENT]]</f>
        <v>36202.157693703557</v>
      </c>
      <c r="Q284" s="5">
        <f>+Table1[[#This Row],[PRINCIPAL ]]+Table1[[#This Row],[EXTRA PAYMENT]]+Q283</f>
        <v>213797.84230629637</v>
      </c>
      <c r="R284" s="7">
        <f>+Table1[[#This Row],[INTEREST ]]+R283</f>
        <v>144643.70910980669</v>
      </c>
    </row>
    <row r="285" spans="1:18" x14ac:dyDescent="0.25">
      <c r="A285">
        <f t="shared" si="29"/>
        <v>282</v>
      </c>
      <c r="B285" s="1">
        <f t="shared" si="30"/>
        <v>49188</v>
      </c>
      <c r="C285" s="6">
        <f t="shared" si="31"/>
        <v>81856.090244665029</v>
      </c>
      <c r="D285" s="7">
        <f>PPMT(Inputs!$B$4/12,A285,Inputs!$B$5*12,-'Amortization Table'!$C$4)</f>
        <v>911.26575158411742</v>
      </c>
      <c r="E285" s="7">
        <f>IPMT(Inputs!$B$4/12,'Amortization Table'!A285,Inputs!$B$5*12,-'Amortization Table'!$C$4)</f>
        <v>264.32695808173071</v>
      </c>
      <c r="F285" s="7">
        <f t="shared" si="32"/>
        <v>1175.5927096658481</v>
      </c>
      <c r="G285" s="6">
        <f t="shared" si="33"/>
        <v>80944.824493080916</v>
      </c>
      <c r="H285" s="5">
        <f>+H284+Table1[[#This Row],[PRINCIPAL]]</f>
        <v>169055.1755069191</v>
      </c>
      <c r="I285" s="7">
        <f>Table1[[#This Row],[INTEREST]]+I284</f>
        <v>162461.96861885017</v>
      </c>
      <c r="J285" s="11"/>
      <c r="K285" s="7">
        <f t="shared" si="34"/>
        <v>36202.157693703557</v>
      </c>
      <c r="L285" s="7">
        <f>+References!$B$1-Table1[[#This Row],[INTEREST ]]</f>
        <v>1058.6899087799304</v>
      </c>
      <c r="M285" s="5">
        <f>+Inputs!$B$11</f>
        <v>100</v>
      </c>
      <c r="N285" s="7">
        <f>+Table1[[#This Row],[BEGINNING BALANCE ]]*Inputs!$B$4/12</f>
        <v>116.90280088591773</v>
      </c>
      <c r="O285" s="7">
        <f>+SUM(Table1[[#This Row],[PRINCIPAL ]:[INTEREST ]])</f>
        <v>1275.5927096658481</v>
      </c>
      <c r="P285" s="7">
        <f>+Table1[[#This Row],[BEGINNING BALANCE ]]-Table1[[#This Row],[PRINCIPAL ]]-Table1[[#This Row],[EXTRA PAYMENT]]</f>
        <v>35043.467784923625</v>
      </c>
      <c r="Q285" s="5">
        <f>+Table1[[#This Row],[PRINCIPAL ]]+Table1[[#This Row],[EXTRA PAYMENT]]+Q284</f>
        <v>214956.53221507629</v>
      </c>
      <c r="R285" s="7">
        <f>+Table1[[#This Row],[INTEREST ]]+R284</f>
        <v>144760.61191069262</v>
      </c>
    </row>
    <row r="286" spans="1:18" x14ac:dyDescent="0.25">
      <c r="A286">
        <f t="shared" si="29"/>
        <v>283</v>
      </c>
      <c r="B286" s="1">
        <f t="shared" si="30"/>
        <v>49218</v>
      </c>
      <c r="C286" s="6">
        <f t="shared" si="31"/>
        <v>80944.824493080916</v>
      </c>
      <c r="D286" s="7">
        <f>PPMT(Inputs!$B$4/12,A286,Inputs!$B$5*12,-'Amortization Table'!$C$4)</f>
        <v>914.20838057360788</v>
      </c>
      <c r="E286" s="7">
        <f>IPMT(Inputs!$B$4/12,'Amortization Table'!A286,Inputs!$B$5*12,-'Amortization Table'!$C$4)</f>
        <v>261.38432909224036</v>
      </c>
      <c r="F286" s="7">
        <f t="shared" si="32"/>
        <v>1175.5927096658484</v>
      </c>
      <c r="G286" s="6">
        <f t="shared" si="33"/>
        <v>80030.616112507312</v>
      </c>
      <c r="H286" s="5">
        <f>+H285+Table1[[#This Row],[PRINCIPAL]]</f>
        <v>169969.3838874927</v>
      </c>
      <c r="I286" s="7">
        <f>Table1[[#This Row],[INTEREST]]+I285</f>
        <v>162723.35294794242</v>
      </c>
      <c r="J286" s="11"/>
      <c r="K286" s="7">
        <f t="shared" si="34"/>
        <v>35043.467784923625</v>
      </c>
      <c r="L286" s="7">
        <f>+References!$B$1-Table1[[#This Row],[INTEREST ]]</f>
        <v>1062.4315116103655</v>
      </c>
      <c r="M286" s="5">
        <f>+Inputs!$B$11</f>
        <v>100</v>
      </c>
      <c r="N286" s="7">
        <f>+Table1[[#This Row],[BEGINNING BALANCE ]]*Inputs!$B$4/12</f>
        <v>113.16119805548254</v>
      </c>
      <c r="O286" s="7">
        <f>+SUM(Table1[[#This Row],[PRINCIPAL ]:[INTEREST ]])</f>
        <v>1275.5927096658481</v>
      </c>
      <c r="P286" s="7">
        <f>+Table1[[#This Row],[BEGINNING BALANCE ]]-Table1[[#This Row],[PRINCIPAL ]]-Table1[[#This Row],[EXTRA PAYMENT]]</f>
        <v>33881.036273313257</v>
      </c>
      <c r="Q286" s="5">
        <f>+Table1[[#This Row],[PRINCIPAL ]]+Table1[[#This Row],[EXTRA PAYMENT]]+Q285</f>
        <v>216118.96372668666</v>
      </c>
      <c r="R286" s="7">
        <f>+Table1[[#This Row],[INTEREST ]]+R285</f>
        <v>144873.77310874811</v>
      </c>
    </row>
    <row r="287" spans="1:18" x14ac:dyDescent="0.25">
      <c r="A287">
        <f t="shared" si="29"/>
        <v>284</v>
      </c>
      <c r="B287" s="1">
        <f t="shared" si="30"/>
        <v>49249</v>
      </c>
      <c r="C287" s="6">
        <f t="shared" si="31"/>
        <v>80030.616112507312</v>
      </c>
      <c r="D287" s="7">
        <f>PPMT(Inputs!$B$4/12,A287,Inputs!$B$5*12,-'Amortization Table'!$C$4)</f>
        <v>917.16051180254351</v>
      </c>
      <c r="E287" s="7">
        <f>IPMT(Inputs!$B$4/12,'Amortization Table'!A287,Inputs!$B$5*12,-'Amortization Table'!$C$4)</f>
        <v>258.43219786330474</v>
      </c>
      <c r="F287" s="7">
        <f t="shared" si="32"/>
        <v>1175.5927096658484</v>
      </c>
      <c r="G287" s="6">
        <f t="shared" si="33"/>
        <v>79113.455600704765</v>
      </c>
      <c r="H287" s="5">
        <f>+H286+Table1[[#This Row],[PRINCIPAL]]</f>
        <v>170886.54439929524</v>
      </c>
      <c r="I287" s="7">
        <f>Table1[[#This Row],[INTEREST]]+I286</f>
        <v>162981.78514580571</v>
      </c>
      <c r="J287" s="11"/>
      <c r="K287" s="7">
        <f t="shared" si="34"/>
        <v>33881.036273313257</v>
      </c>
      <c r="L287" s="7">
        <f>+References!$B$1-Table1[[#This Row],[INTEREST ]]</f>
        <v>1066.1851966999407</v>
      </c>
      <c r="M287" s="5">
        <f>+Inputs!$B$11</f>
        <v>100</v>
      </c>
      <c r="N287" s="7">
        <f>+Table1[[#This Row],[BEGINNING BALANCE ]]*Inputs!$B$4/12</f>
        <v>109.4075129659074</v>
      </c>
      <c r="O287" s="7">
        <f>+SUM(Table1[[#This Row],[PRINCIPAL ]:[INTEREST ]])</f>
        <v>1275.5927096658481</v>
      </c>
      <c r="P287" s="7">
        <f>+Table1[[#This Row],[BEGINNING BALANCE ]]-Table1[[#This Row],[PRINCIPAL ]]-Table1[[#This Row],[EXTRA PAYMENT]]</f>
        <v>32714.851076613319</v>
      </c>
      <c r="Q287" s="5">
        <f>+Table1[[#This Row],[PRINCIPAL ]]+Table1[[#This Row],[EXTRA PAYMENT]]+Q286</f>
        <v>217285.14892338662</v>
      </c>
      <c r="R287" s="7">
        <f>+Table1[[#This Row],[INTEREST ]]+R286</f>
        <v>144983.18062171401</v>
      </c>
    </row>
    <row r="288" spans="1:18" x14ac:dyDescent="0.25">
      <c r="A288">
        <f t="shared" si="29"/>
        <v>285</v>
      </c>
      <c r="B288" s="1">
        <f t="shared" si="30"/>
        <v>49279</v>
      </c>
      <c r="C288" s="6">
        <f t="shared" si="31"/>
        <v>79113.455600704765</v>
      </c>
      <c r="D288" s="7">
        <f>PPMT(Inputs!$B$4/12,A288,Inputs!$B$5*12,-'Amortization Table'!$C$4)</f>
        <v>920.12217595523919</v>
      </c>
      <c r="E288" s="7">
        <f>IPMT(Inputs!$B$4/12,'Amortization Table'!A288,Inputs!$B$5*12,-'Amortization Table'!$C$4)</f>
        <v>255.47053371060903</v>
      </c>
      <c r="F288" s="7">
        <f t="shared" si="32"/>
        <v>1175.5927096658481</v>
      </c>
      <c r="G288" s="6">
        <f t="shared" si="33"/>
        <v>78193.333424749522</v>
      </c>
      <c r="H288" s="5">
        <f>+H287+Table1[[#This Row],[PRINCIPAL]]</f>
        <v>171806.66657525048</v>
      </c>
      <c r="I288" s="7">
        <f>Table1[[#This Row],[INTEREST]]+I287</f>
        <v>163237.25567951633</v>
      </c>
      <c r="J288" s="11"/>
      <c r="K288" s="7">
        <f t="shared" si="34"/>
        <v>32714.851076613319</v>
      </c>
      <c r="L288" s="7">
        <f>+References!$B$1-Table1[[#This Row],[INTEREST ]]</f>
        <v>1069.9510030642844</v>
      </c>
      <c r="M288" s="5">
        <f>+Inputs!$B$11</f>
        <v>100</v>
      </c>
      <c r="N288" s="7">
        <f>+Table1[[#This Row],[BEGINNING BALANCE ]]*Inputs!$B$4/12</f>
        <v>105.64170660156384</v>
      </c>
      <c r="O288" s="7">
        <f>+SUM(Table1[[#This Row],[PRINCIPAL ]:[INTEREST ]])</f>
        <v>1275.5927096658481</v>
      </c>
      <c r="P288" s="7">
        <f>+Table1[[#This Row],[BEGINNING BALANCE ]]-Table1[[#This Row],[PRINCIPAL ]]-Table1[[#This Row],[EXTRA PAYMENT]]</f>
        <v>31544.900073549034</v>
      </c>
      <c r="Q288" s="5">
        <f>+Table1[[#This Row],[PRINCIPAL ]]+Table1[[#This Row],[EXTRA PAYMENT]]+Q287</f>
        <v>218455.0999264509</v>
      </c>
      <c r="R288" s="7">
        <f>+Table1[[#This Row],[INTEREST ]]+R287</f>
        <v>145088.82232831558</v>
      </c>
    </row>
    <row r="289" spans="1:18" x14ac:dyDescent="0.25">
      <c r="A289">
        <f t="shared" si="29"/>
        <v>286</v>
      </c>
      <c r="B289" s="1">
        <f t="shared" si="30"/>
        <v>49310</v>
      </c>
      <c r="C289" s="6">
        <f t="shared" si="31"/>
        <v>78193.333424749522</v>
      </c>
      <c r="D289" s="7">
        <f>PPMT(Inputs!$B$4/12,A289,Inputs!$B$5*12,-'Amortization Table'!$C$4)</f>
        <v>923.09340381509458</v>
      </c>
      <c r="E289" s="7">
        <f>IPMT(Inputs!$B$4/12,'Amortization Table'!A289,Inputs!$B$5*12,-'Amortization Table'!$C$4)</f>
        <v>252.49930585075356</v>
      </c>
      <c r="F289" s="7">
        <f t="shared" si="32"/>
        <v>1175.5927096658481</v>
      </c>
      <c r="G289" s="6">
        <f t="shared" si="33"/>
        <v>77270.240020934434</v>
      </c>
      <c r="H289" s="5">
        <f>+H288+Table1[[#This Row],[PRINCIPAL]]</f>
        <v>172729.75997906557</v>
      </c>
      <c r="I289" s="7">
        <f>Table1[[#This Row],[INTEREST]]+I288</f>
        <v>163489.75498536709</v>
      </c>
      <c r="J289" s="11"/>
      <c r="K289" s="7">
        <f t="shared" si="34"/>
        <v>31544.900073549034</v>
      </c>
      <c r="L289" s="7">
        <f>+References!$B$1-Table1[[#This Row],[INTEREST ]]</f>
        <v>1073.7289698450127</v>
      </c>
      <c r="M289" s="5">
        <f>+Inputs!$B$11</f>
        <v>100</v>
      </c>
      <c r="N289" s="7">
        <f>+Table1[[#This Row],[BEGINNING BALANCE ]]*Inputs!$B$4/12</f>
        <v>101.86373982083542</v>
      </c>
      <c r="O289" s="7">
        <f>+SUM(Table1[[#This Row],[PRINCIPAL ]:[INTEREST ]])</f>
        <v>1275.5927096658481</v>
      </c>
      <c r="P289" s="7">
        <f>+Table1[[#This Row],[BEGINNING BALANCE ]]-Table1[[#This Row],[PRINCIPAL ]]-Table1[[#This Row],[EXTRA PAYMENT]]</f>
        <v>30371.171103704022</v>
      </c>
      <c r="Q289" s="5">
        <f>+Table1[[#This Row],[PRINCIPAL ]]+Table1[[#This Row],[EXTRA PAYMENT]]+Q288</f>
        <v>219628.82889629592</v>
      </c>
      <c r="R289" s="7">
        <f>+Table1[[#This Row],[INTEREST ]]+R288</f>
        <v>145190.68606813642</v>
      </c>
    </row>
    <row r="290" spans="1:18" x14ac:dyDescent="0.25">
      <c r="A290">
        <f t="shared" si="29"/>
        <v>287</v>
      </c>
      <c r="B290" s="1">
        <f t="shared" si="30"/>
        <v>49341</v>
      </c>
      <c r="C290" s="6">
        <f t="shared" si="31"/>
        <v>77270.240020934434</v>
      </c>
      <c r="D290" s="7">
        <f>PPMT(Inputs!$B$4/12,A290,Inputs!$B$5*12,-'Amortization Table'!$C$4)</f>
        <v>926.07422626491427</v>
      </c>
      <c r="E290" s="7">
        <f>IPMT(Inputs!$B$4/12,'Amortization Table'!A290,Inputs!$B$5*12,-'Amortization Table'!$C$4)</f>
        <v>249.518483400934</v>
      </c>
      <c r="F290" s="7">
        <f t="shared" si="32"/>
        <v>1175.5927096658484</v>
      </c>
      <c r="G290" s="6">
        <f t="shared" si="33"/>
        <v>76344.16579466952</v>
      </c>
      <c r="H290" s="5">
        <f>+H289+Table1[[#This Row],[PRINCIPAL]]</f>
        <v>173655.83420533047</v>
      </c>
      <c r="I290" s="7">
        <f>Table1[[#This Row],[INTEREST]]+I289</f>
        <v>163739.27346876802</v>
      </c>
      <c r="J290" s="11"/>
      <c r="K290" s="7">
        <f t="shared" si="34"/>
        <v>30371.171103704022</v>
      </c>
      <c r="L290" s="7">
        <f>+References!$B$1-Table1[[#This Row],[INTEREST ]]</f>
        <v>1077.5191363101371</v>
      </c>
      <c r="M290" s="5">
        <f>+Inputs!$B$11</f>
        <v>100</v>
      </c>
      <c r="N290" s="7">
        <f>+Table1[[#This Row],[BEGINNING BALANCE ]]*Inputs!$B$4/12</f>
        <v>98.073573355710906</v>
      </c>
      <c r="O290" s="7">
        <f>+SUM(Table1[[#This Row],[PRINCIPAL ]:[INTEREST ]])</f>
        <v>1275.5927096658481</v>
      </c>
      <c r="P290" s="7">
        <f>+Table1[[#This Row],[BEGINNING BALANCE ]]-Table1[[#This Row],[PRINCIPAL ]]-Table1[[#This Row],[EXTRA PAYMENT]]</f>
        <v>29193.651967393886</v>
      </c>
      <c r="Q290" s="5">
        <f>+Table1[[#This Row],[PRINCIPAL ]]+Table1[[#This Row],[EXTRA PAYMENT]]+Q289</f>
        <v>220806.34803260607</v>
      </c>
      <c r="R290" s="7">
        <f>+Table1[[#This Row],[INTEREST ]]+R289</f>
        <v>145288.75964149213</v>
      </c>
    </row>
    <row r="291" spans="1:18" x14ac:dyDescent="0.25">
      <c r="A291">
        <f t="shared" si="29"/>
        <v>288</v>
      </c>
      <c r="B291" s="1">
        <f t="shared" si="30"/>
        <v>49369</v>
      </c>
      <c r="C291" s="6">
        <f t="shared" si="31"/>
        <v>76344.16579466952</v>
      </c>
      <c r="D291" s="7">
        <f>PPMT(Inputs!$B$4/12,A291,Inputs!$B$5*12,-'Amortization Table'!$C$4)</f>
        <v>929.06467428722794</v>
      </c>
      <c r="E291" s="7">
        <f>IPMT(Inputs!$B$4/12,'Amortization Table'!A291,Inputs!$B$5*12,-'Amortization Table'!$C$4)</f>
        <v>246.52803537862022</v>
      </c>
      <c r="F291" s="7">
        <f t="shared" si="32"/>
        <v>1175.5927096658481</v>
      </c>
      <c r="G291" s="6">
        <f t="shared" si="33"/>
        <v>75415.101120382285</v>
      </c>
      <c r="H291" s="5">
        <f>+H290+Table1[[#This Row],[PRINCIPAL]]</f>
        <v>174584.89887961769</v>
      </c>
      <c r="I291" s="7">
        <f>Table1[[#This Row],[INTEREST]]+I290</f>
        <v>163985.80150414663</v>
      </c>
      <c r="J291" s="11"/>
      <c r="K291" s="7">
        <f t="shared" si="34"/>
        <v>29193.651967393886</v>
      </c>
      <c r="L291" s="7">
        <f>+References!$B$1-Table1[[#This Row],[INTEREST ]]</f>
        <v>1081.3215418544721</v>
      </c>
      <c r="M291" s="5">
        <f>+Inputs!$B$11</f>
        <v>100</v>
      </c>
      <c r="N291" s="7">
        <f>+Table1[[#This Row],[BEGINNING BALANCE ]]*Inputs!$B$4/12</f>
        <v>94.271167811376088</v>
      </c>
      <c r="O291" s="7">
        <f>+SUM(Table1[[#This Row],[PRINCIPAL ]:[INTEREST ]])</f>
        <v>1275.5927096658481</v>
      </c>
      <c r="P291" s="7">
        <f>+Table1[[#This Row],[BEGINNING BALANCE ]]-Table1[[#This Row],[PRINCIPAL ]]-Table1[[#This Row],[EXTRA PAYMENT]]</f>
        <v>28012.330425539414</v>
      </c>
      <c r="Q291" s="5">
        <f>+Table1[[#This Row],[PRINCIPAL ]]+Table1[[#This Row],[EXTRA PAYMENT]]+Q290</f>
        <v>221987.66957446054</v>
      </c>
      <c r="R291" s="7">
        <f>+Table1[[#This Row],[INTEREST ]]+R290</f>
        <v>145383.03080930351</v>
      </c>
    </row>
    <row r="292" spans="1:18" x14ac:dyDescent="0.25">
      <c r="A292">
        <f t="shared" si="29"/>
        <v>289</v>
      </c>
      <c r="B292" s="1">
        <f t="shared" si="30"/>
        <v>49400</v>
      </c>
      <c r="C292" s="6">
        <f t="shared" si="31"/>
        <v>75415.101120382285</v>
      </c>
      <c r="D292" s="7">
        <f>PPMT(Inputs!$B$4/12,A292,Inputs!$B$5*12,-'Amortization Table'!$C$4)</f>
        <v>932.06477896461377</v>
      </c>
      <c r="E292" s="7">
        <f>IPMT(Inputs!$B$4/12,'Amortization Table'!A292,Inputs!$B$5*12,-'Amortization Table'!$C$4)</f>
        <v>243.52793070123442</v>
      </c>
      <c r="F292" s="7">
        <f t="shared" si="32"/>
        <v>1175.5927096658481</v>
      </c>
      <c r="G292" s="6">
        <f t="shared" si="33"/>
        <v>74483.036341417668</v>
      </c>
      <c r="H292" s="5">
        <f>+H291+Table1[[#This Row],[PRINCIPAL]]</f>
        <v>175516.9636585823</v>
      </c>
      <c r="I292" s="7">
        <f>Table1[[#This Row],[INTEREST]]+I291</f>
        <v>164229.32943484787</v>
      </c>
      <c r="J292" s="11"/>
      <c r="K292" s="7">
        <f t="shared" si="34"/>
        <v>28012.330425539414</v>
      </c>
      <c r="L292" s="7">
        <f>+References!$B$1-Table1[[#This Row],[INTEREST ]]</f>
        <v>1085.1362260000437</v>
      </c>
      <c r="M292" s="5">
        <f>+Inputs!$B$11</f>
        <v>100</v>
      </c>
      <c r="N292" s="7">
        <f>+Table1[[#This Row],[BEGINNING BALANCE ]]*Inputs!$B$4/12</f>
        <v>90.456483665804356</v>
      </c>
      <c r="O292" s="7">
        <f>+SUM(Table1[[#This Row],[PRINCIPAL ]:[INTEREST ]])</f>
        <v>1275.5927096658481</v>
      </c>
      <c r="P292" s="7">
        <f>+Table1[[#This Row],[BEGINNING BALANCE ]]-Table1[[#This Row],[PRINCIPAL ]]-Table1[[#This Row],[EXTRA PAYMENT]]</f>
        <v>26827.194199539372</v>
      </c>
      <c r="Q292" s="5">
        <f>+Table1[[#This Row],[PRINCIPAL ]]+Table1[[#This Row],[EXTRA PAYMENT]]+Q291</f>
        <v>223172.80580046057</v>
      </c>
      <c r="R292" s="7">
        <f>+Table1[[#This Row],[INTEREST ]]+R291</f>
        <v>145473.48729296931</v>
      </c>
    </row>
    <row r="293" spans="1:18" x14ac:dyDescent="0.25">
      <c r="A293">
        <f t="shared" si="29"/>
        <v>290</v>
      </c>
      <c r="B293" s="1">
        <f t="shared" si="30"/>
        <v>49430</v>
      </c>
      <c r="C293" s="6">
        <f t="shared" si="31"/>
        <v>74483.036341417668</v>
      </c>
      <c r="D293" s="7">
        <f>PPMT(Inputs!$B$4/12,A293,Inputs!$B$5*12,-'Amortization Table'!$C$4)</f>
        <v>935.07457148002038</v>
      </c>
      <c r="E293" s="7">
        <f>IPMT(Inputs!$B$4/12,'Amortization Table'!A293,Inputs!$B$5*12,-'Amortization Table'!$C$4)</f>
        <v>240.51813818582784</v>
      </c>
      <c r="F293" s="7">
        <f t="shared" si="32"/>
        <v>1175.5927096658481</v>
      </c>
      <c r="G293" s="6">
        <f t="shared" si="33"/>
        <v>73547.961769937654</v>
      </c>
      <c r="H293" s="5">
        <f>+H292+Table1[[#This Row],[PRINCIPAL]]</f>
        <v>176452.03823006232</v>
      </c>
      <c r="I293" s="7">
        <f>Table1[[#This Row],[INTEREST]]+I292</f>
        <v>164469.84757303371</v>
      </c>
      <c r="J293" s="11"/>
      <c r="K293" s="7">
        <f t="shared" si="34"/>
        <v>26827.194199539372</v>
      </c>
      <c r="L293" s="7">
        <f>+References!$B$1-Table1[[#This Row],[INTEREST ]]</f>
        <v>1088.9632283965022</v>
      </c>
      <c r="M293" s="5">
        <f>+Inputs!$B$11</f>
        <v>100</v>
      </c>
      <c r="N293" s="7">
        <f>+Table1[[#This Row],[BEGINNING BALANCE ]]*Inputs!$B$4/12</f>
        <v>86.629481269345888</v>
      </c>
      <c r="O293" s="7">
        <f>+SUM(Table1[[#This Row],[PRINCIPAL ]:[INTEREST ]])</f>
        <v>1275.5927096658481</v>
      </c>
      <c r="P293" s="7">
        <f>+Table1[[#This Row],[BEGINNING BALANCE ]]-Table1[[#This Row],[PRINCIPAL ]]-Table1[[#This Row],[EXTRA PAYMENT]]</f>
        <v>25638.230971142868</v>
      </c>
      <c r="Q293" s="5">
        <f>+Table1[[#This Row],[PRINCIPAL ]]+Table1[[#This Row],[EXTRA PAYMENT]]+Q292</f>
        <v>224361.76902885706</v>
      </c>
      <c r="R293" s="7">
        <f>+Table1[[#This Row],[INTEREST ]]+R292</f>
        <v>145560.11677423865</v>
      </c>
    </row>
    <row r="294" spans="1:18" x14ac:dyDescent="0.25">
      <c r="A294">
        <f t="shared" ref="A294:A357" si="35">+A293+1</f>
        <v>291</v>
      </c>
      <c r="B294" s="1">
        <f t="shared" ref="B294:B357" si="36">+EOMONTH(B293,0)+1</f>
        <v>49461</v>
      </c>
      <c r="C294" s="6">
        <f t="shared" ref="C294:C357" si="37">+G293</f>
        <v>73547.961769937654</v>
      </c>
      <c r="D294" s="7">
        <f>PPMT(Inputs!$B$4/12,A294,Inputs!$B$5*12,-'Amortization Table'!$C$4)</f>
        <v>938.09408311709137</v>
      </c>
      <c r="E294" s="7">
        <f>IPMT(Inputs!$B$4/12,'Amortization Table'!A294,Inputs!$B$5*12,-'Amortization Table'!$C$4)</f>
        <v>237.4986265487569</v>
      </c>
      <c r="F294" s="7">
        <f t="shared" si="32"/>
        <v>1175.5927096658484</v>
      </c>
      <c r="G294" s="6">
        <f t="shared" si="33"/>
        <v>72609.867686820566</v>
      </c>
      <c r="H294" s="5">
        <f>+H293+Table1[[#This Row],[PRINCIPAL]]</f>
        <v>177390.13231317941</v>
      </c>
      <c r="I294" s="7">
        <f>Table1[[#This Row],[INTEREST]]+I293</f>
        <v>164707.34619958248</v>
      </c>
      <c r="J294" s="11"/>
      <c r="K294" s="7">
        <f t="shared" si="34"/>
        <v>25638.230971142868</v>
      </c>
      <c r="L294" s="7">
        <f>+References!$B$1-Table1[[#This Row],[INTEREST ]]</f>
        <v>1092.8025888215327</v>
      </c>
      <c r="M294" s="5">
        <f>+Inputs!$B$11</f>
        <v>100</v>
      </c>
      <c r="N294" s="7">
        <f>+Table1[[#This Row],[BEGINNING BALANCE ]]*Inputs!$B$4/12</f>
        <v>82.79012084431551</v>
      </c>
      <c r="O294" s="7">
        <f>+SUM(Table1[[#This Row],[PRINCIPAL ]:[INTEREST ]])</f>
        <v>1275.5927096658481</v>
      </c>
      <c r="P294" s="7">
        <f>+Table1[[#This Row],[BEGINNING BALANCE ]]-Table1[[#This Row],[PRINCIPAL ]]-Table1[[#This Row],[EXTRA PAYMENT]]</f>
        <v>24445.428382321334</v>
      </c>
      <c r="Q294" s="5">
        <f>+Table1[[#This Row],[PRINCIPAL ]]+Table1[[#This Row],[EXTRA PAYMENT]]+Q293</f>
        <v>225554.57161767859</v>
      </c>
      <c r="R294" s="7">
        <f>+Table1[[#This Row],[INTEREST ]]+R293</f>
        <v>145642.90689508297</v>
      </c>
    </row>
    <row r="295" spans="1:18" x14ac:dyDescent="0.25">
      <c r="A295">
        <f t="shared" si="35"/>
        <v>292</v>
      </c>
      <c r="B295" s="1">
        <f t="shared" si="36"/>
        <v>49491</v>
      </c>
      <c r="C295" s="6">
        <f t="shared" si="37"/>
        <v>72609.867686820566</v>
      </c>
      <c r="D295" s="7">
        <f>PPMT(Inputs!$B$4/12,A295,Inputs!$B$5*12,-'Amortization Table'!$C$4)</f>
        <v>941.12334526049005</v>
      </c>
      <c r="E295" s="7">
        <f>IPMT(Inputs!$B$4/12,'Amortization Table'!A295,Inputs!$B$5*12,-'Amortization Table'!$C$4)</f>
        <v>234.46936440535794</v>
      </c>
      <c r="F295" s="7">
        <f t="shared" si="32"/>
        <v>1175.5927096658479</v>
      </c>
      <c r="G295" s="6">
        <f t="shared" si="33"/>
        <v>71668.744341560072</v>
      </c>
      <c r="H295" s="5">
        <f>+H294+Table1[[#This Row],[PRINCIPAL]]</f>
        <v>178331.25565843988</v>
      </c>
      <c r="I295" s="7">
        <f>Table1[[#This Row],[INTEREST]]+I294</f>
        <v>164941.81556398782</v>
      </c>
      <c r="J295" s="11"/>
      <c r="K295" s="7">
        <f t="shared" si="34"/>
        <v>24445.428382321334</v>
      </c>
      <c r="L295" s="7">
        <f>+References!$B$1-Table1[[#This Row],[INTEREST ]]</f>
        <v>1096.6543471812688</v>
      </c>
      <c r="M295" s="5">
        <f>+Inputs!$B$11</f>
        <v>100</v>
      </c>
      <c r="N295" s="7">
        <f>+Table1[[#This Row],[BEGINNING BALANCE ]]*Inputs!$B$4/12</f>
        <v>78.938362484579315</v>
      </c>
      <c r="O295" s="7">
        <f>+SUM(Table1[[#This Row],[PRINCIPAL ]:[INTEREST ]])</f>
        <v>1275.5927096658481</v>
      </c>
      <c r="P295" s="7">
        <f>+Table1[[#This Row],[BEGINNING BALANCE ]]-Table1[[#This Row],[PRINCIPAL ]]-Table1[[#This Row],[EXTRA PAYMENT]]</f>
        <v>23248.774035140064</v>
      </c>
      <c r="Q295" s="5">
        <f>+Table1[[#This Row],[PRINCIPAL ]]+Table1[[#This Row],[EXTRA PAYMENT]]+Q294</f>
        <v>226751.22596485986</v>
      </c>
      <c r="R295" s="7">
        <f>+Table1[[#This Row],[INTEREST ]]+R294</f>
        <v>145721.84525756753</v>
      </c>
    </row>
    <row r="296" spans="1:18" x14ac:dyDescent="0.25">
      <c r="A296">
        <f t="shared" si="35"/>
        <v>293</v>
      </c>
      <c r="B296" s="1">
        <f t="shared" si="36"/>
        <v>49522</v>
      </c>
      <c r="C296" s="6">
        <f t="shared" si="37"/>
        <v>71668.744341560072</v>
      </c>
      <c r="D296" s="7">
        <f>PPMT(Inputs!$B$4/12,A296,Inputs!$B$5*12,-'Amortization Table'!$C$4)</f>
        <v>944.16238939622713</v>
      </c>
      <c r="E296" s="7">
        <f>IPMT(Inputs!$B$4/12,'Amortization Table'!A296,Inputs!$B$5*12,-'Amortization Table'!$C$4)</f>
        <v>231.43032026962098</v>
      </c>
      <c r="F296" s="7">
        <f t="shared" si="32"/>
        <v>1175.5927096658481</v>
      </c>
      <c r="G296" s="6">
        <f t="shared" si="33"/>
        <v>70724.581952163848</v>
      </c>
      <c r="H296" s="5">
        <f>+H295+Table1[[#This Row],[PRINCIPAL]]</f>
        <v>179275.41804783611</v>
      </c>
      <c r="I296" s="7">
        <f>Table1[[#This Row],[INTEREST]]+I295</f>
        <v>165173.24588425746</v>
      </c>
      <c r="J296" s="11"/>
      <c r="K296" s="7">
        <f t="shared" si="34"/>
        <v>23248.774035140064</v>
      </c>
      <c r="L296" s="7">
        <f>+References!$B$1-Table1[[#This Row],[INTEREST ]]</f>
        <v>1100.5185435107082</v>
      </c>
      <c r="M296" s="5">
        <f>+Inputs!$B$11</f>
        <v>100</v>
      </c>
      <c r="N296" s="7">
        <f>+Table1[[#This Row],[BEGINNING BALANCE ]]*Inputs!$B$4/12</f>
        <v>75.074166155139793</v>
      </c>
      <c r="O296" s="7">
        <f>+SUM(Table1[[#This Row],[PRINCIPAL ]:[INTEREST ]])</f>
        <v>1275.5927096658481</v>
      </c>
      <c r="P296" s="7">
        <f>+Table1[[#This Row],[BEGINNING BALANCE ]]-Table1[[#This Row],[PRINCIPAL ]]-Table1[[#This Row],[EXTRA PAYMENT]]</f>
        <v>22048.255491629356</v>
      </c>
      <c r="Q296" s="5">
        <f>+Table1[[#This Row],[PRINCIPAL ]]+Table1[[#This Row],[EXTRA PAYMENT]]+Q295</f>
        <v>227951.74450837055</v>
      </c>
      <c r="R296" s="7">
        <f>+Table1[[#This Row],[INTEREST ]]+R295</f>
        <v>145796.91942372266</v>
      </c>
    </row>
    <row r="297" spans="1:18" x14ac:dyDescent="0.25">
      <c r="A297">
        <f t="shared" si="35"/>
        <v>294</v>
      </c>
      <c r="B297" s="1">
        <f t="shared" si="36"/>
        <v>49553</v>
      </c>
      <c r="C297" s="6">
        <f t="shared" si="37"/>
        <v>70724.581952163848</v>
      </c>
      <c r="D297" s="7">
        <f>PPMT(Inputs!$B$4/12,A297,Inputs!$B$5*12,-'Amortization Table'!$C$4)</f>
        <v>947.21124711198581</v>
      </c>
      <c r="E297" s="7">
        <f>IPMT(Inputs!$B$4/12,'Amortization Table'!A297,Inputs!$B$5*12,-'Amortization Table'!$C$4)</f>
        <v>228.38146255386229</v>
      </c>
      <c r="F297" s="7">
        <f t="shared" si="32"/>
        <v>1175.5927096658481</v>
      </c>
      <c r="G297" s="6">
        <f t="shared" si="33"/>
        <v>69777.370705051857</v>
      </c>
      <c r="H297" s="5">
        <f>+H296+Table1[[#This Row],[PRINCIPAL]]</f>
        <v>180222.6292949481</v>
      </c>
      <c r="I297" s="7">
        <f>Table1[[#This Row],[INTEREST]]+I296</f>
        <v>165401.62734681132</v>
      </c>
      <c r="J297" s="11"/>
      <c r="K297" s="7">
        <f t="shared" si="34"/>
        <v>22048.255491629356</v>
      </c>
      <c r="L297" s="7">
        <f>+References!$B$1-Table1[[#This Row],[INTEREST ]]</f>
        <v>1104.3952179741284</v>
      </c>
      <c r="M297" s="5">
        <f>+Inputs!$B$11</f>
        <v>100</v>
      </c>
      <c r="N297" s="7">
        <f>+Table1[[#This Row],[BEGINNING BALANCE ]]*Inputs!$B$4/12</f>
        <v>71.19749169171979</v>
      </c>
      <c r="O297" s="7">
        <f>+SUM(Table1[[#This Row],[PRINCIPAL ]:[INTEREST ]])</f>
        <v>1275.5927096658481</v>
      </c>
      <c r="P297" s="7">
        <f>+Table1[[#This Row],[BEGINNING BALANCE ]]-Table1[[#This Row],[PRINCIPAL ]]-Table1[[#This Row],[EXTRA PAYMENT]]</f>
        <v>20843.860273655228</v>
      </c>
      <c r="Q297" s="5">
        <f>+Table1[[#This Row],[PRINCIPAL ]]+Table1[[#This Row],[EXTRA PAYMENT]]+Q296</f>
        <v>229156.13972634467</v>
      </c>
      <c r="R297" s="7">
        <f>+Table1[[#This Row],[INTEREST ]]+R296</f>
        <v>145868.11691541437</v>
      </c>
    </row>
    <row r="298" spans="1:18" x14ac:dyDescent="0.25">
      <c r="A298">
        <f t="shared" si="35"/>
        <v>295</v>
      </c>
      <c r="B298" s="1">
        <f t="shared" si="36"/>
        <v>49583</v>
      </c>
      <c r="C298" s="6">
        <f t="shared" si="37"/>
        <v>69777.370705051857</v>
      </c>
      <c r="D298" s="7">
        <f>PPMT(Inputs!$B$4/12,A298,Inputs!$B$5*12,-'Amortization Table'!$C$4)</f>
        <v>950.26995009745167</v>
      </c>
      <c r="E298" s="7">
        <f>IPMT(Inputs!$B$4/12,'Amortization Table'!A298,Inputs!$B$5*12,-'Amortization Table'!$C$4)</f>
        <v>225.32275956839652</v>
      </c>
      <c r="F298" s="7">
        <f t="shared" si="32"/>
        <v>1175.5927096658481</v>
      </c>
      <c r="G298" s="6">
        <f t="shared" si="33"/>
        <v>68827.100754954401</v>
      </c>
      <c r="H298" s="5">
        <f>+H297+Table1[[#This Row],[PRINCIPAL]]</f>
        <v>181172.89924504556</v>
      </c>
      <c r="I298" s="7">
        <f>Table1[[#This Row],[INTEREST]]+I297</f>
        <v>165626.95010637972</v>
      </c>
      <c r="J298" s="11"/>
      <c r="K298" s="7">
        <f t="shared" si="34"/>
        <v>20843.860273655228</v>
      </c>
      <c r="L298" s="7">
        <f>+References!$B$1-Table1[[#This Row],[INTEREST ]]</f>
        <v>1108.2844108655031</v>
      </c>
      <c r="M298" s="5">
        <f>+Inputs!$B$11</f>
        <v>100</v>
      </c>
      <c r="N298" s="7">
        <f>+Table1[[#This Row],[BEGINNING BALANCE ]]*Inputs!$B$4/12</f>
        <v>67.308298800345014</v>
      </c>
      <c r="O298" s="7">
        <f>+SUM(Table1[[#This Row],[PRINCIPAL ]:[INTEREST ]])</f>
        <v>1275.5927096658481</v>
      </c>
      <c r="P298" s="7">
        <f>+Table1[[#This Row],[BEGINNING BALANCE ]]-Table1[[#This Row],[PRINCIPAL ]]-Table1[[#This Row],[EXTRA PAYMENT]]</f>
        <v>19635.575862789723</v>
      </c>
      <c r="Q298" s="5">
        <f>+Table1[[#This Row],[PRINCIPAL ]]+Table1[[#This Row],[EXTRA PAYMENT]]+Q297</f>
        <v>230364.42413721018</v>
      </c>
      <c r="R298" s="7">
        <f>+Table1[[#This Row],[INTEREST ]]+R297</f>
        <v>145935.42521421472</v>
      </c>
    </row>
    <row r="299" spans="1:18" x14ac:dyDescent="0.25">
      <c r="A299">
        <f t="shared" si="35"/>
        <v>296</v>
      </c>
      <c r="B299" s="1">
        <f t="shared" si="36"/>
        <v>49614</v>
      </c>
      <c r="C299" s="6">
        <f t="shared" si="37"/>
        <v>68827.100754954401</v>
      </c>
      <c r="D299" s="7">
        <f>PPMT(Inputs!$B$4/12,A299,Inputs!$B$5*12,-'Amortization Table'!$C$4)</f>
        <v>953.33853014464125</v>
      </c>
      <c r="E299" s="7">
        <f>IPMT(Inputs!$B$4/12,'Amortization Table'!A299,Inputs!$B$5*12,-'Amortization Table'!$C$4)</f>
        <v>222.25417952120688</v>
      </c>
      <c r="F299" s="7">
        <f t="shared" si="32"/>
        <v>1175.5927096658481</v>
      </c>
      <c r="G299" s="6">
        <f t="shared" si="33"/>
        <v>67873.762224809761</v>
      </c>
      <c r="H299" s="5">
        <f>+H298+Table1[[#This Row],[PRINCIPAL]]</f>
        <v>182126.23777519021</v>
      </c>
      <c r="I299" s="7">
        <f>Table1[[#This Row],[INTEREST]]+I298</f>
        <v>165849.20428590092</v>
      </c>
      <c r="J299" s="11"/>
      <c r="K299" s="7">
        <f t="shared" si="34"/>
        <v>19635.575862789723</v>
      </c>
      <c r="L299" s="7">
        <f>+References!$B$1-Table1[[#This Row],[INTEREST ]]</f>
        <v>1112.186162608923</v>
      </c>
      <c r="M299" s="5">
        <f>+Inputs!$B$11</f>
        <v>100</v>
      </c>
      <c r="N299" s="7">
        <f>+Table1[[#This Row],[BEGINNING BALANCE ]]*Inputs!$B$4/12</f>
        <v>63.406547056925149</v>
      </c>
      <c r="O299" s="7">
        <f>+SUM(Table1[[#This Row],[PRINCIPAL ]:[INTEREST ]])</f>
        <v>1275.5927096658481</v>
      </c>
      <c r="P299" s="7">
        <f>+Table1[[#This Row],[BEGINNING BALANCE ]]-Table1[[#This Row],[PRINCIPAL ]]-Table1[[#This Row],[EXTRA PAYMENT]]</f>
        <v>18423.3897001808</v>
      </c>
      <c r="Q299" s="5">
        <f>+Table1[[#This Row],[PRINCIPAL ]]+Table1[[#This Row],[EXTRA PAYMENT]]+Q298</f>
        <v>231576.61029981909</v>
      </c>
      <c r="R299" s="7">
        <f>+Table1[[#This Row],[INTEREST ]]+R298</f>
        <v>145998.83176127163</v>
      </c>
    </row>
    <row r="300" spans="1:18" x14ac:dyDescent="0.25">
      <c r="A300">
        <f t="shared" si="35"/>
        <v>297</v>
      </c>
      <c r="B300" s="1">
        <f t="shared" si="36"/>
        <v>49644</v>
      </c>
      <c r="C300" s="6">
        <f t="shared" si="37"/>
        <v>67873.762224809761</v>
      </c>
      <c r="D300" s="7">
        <f>PPMT(Inputs!$B$4/12,A300,Inputs!$B$5*12,-'Amortization Table'!$C$4)</f>
        <v>956.41701914823341</v>
      </c>
      <c r="E300" s="7">
        <f>IPMT(Inputs!$B$4/12,'Amortization Table'!A300,Inputs!$B$5*12,-'Amortization Table'!$C$4)</f>
        <v>219.17569051761481</v>
      </c>
      <c r="F300" s="7">
        <f t="shared" si="32"/>
        <v>1175.5927096658481</v>
      </c>
      <c r="G300" s="6">
        <f t="shared" si="33"/>
        <v>66917.345205661535</v>
      </c>
      <c r="H300" s="5">
        <f>+H299+Table1[[#This Row],[PRINCIPAL]]</f>
        <v>183082.65479433845</v>
      </c>
      <c r="I300" s="7">
        <f>Table1[[#This Row],[INTEREST]]+I299</f>
        <v>166068.37997641854</v>
      </c>
      <c r="J300" s="11"/>
      <c r="K300" s="7">
        <f t="shared" si="34"/>
        <v>18423.3897001808</v>
      </c>
      <c r="L300" s="7">
        <f>+References!$B$1-Table1[[#This Row],[INTEREST ]]</f>
        <v>1116.1005137590143</v>
      </c>
      <c r="M300" s="5">
        <f>+Inputs!$B$11</f>
        <v>100</v>
      </c>
      <c r="N300" s="7">
        <f>+Table1[[#This Row],[BEGINNING BALANCE ]]*Inputs!$B$4/12</f>
        <v>59.492195906833835</v>
      </c>
      <c r="O300" s="7">
        <f>+SUM(Table1[[#This Row],[PRINCIPAL ]:[INTEREST ]])</f>
        <v>1275.5927096658481</v>
      </c>
      <c r="P300" s="7">
        <f>+Table1[[#This Row],[BEGINNING BALANCE ]]-Table1[[#This Row],[PRINCIPAL ]]-Table1[[#This Row],[EXTRA PAYMENT]]</f>
        <v>17207.289186421785</v>
      </c>
      <c r="Q300" s="5">
        <f>+Table1[[#This Row],[PRINCIPAL ]]+Table1[[#This Row],[EXTRA PAYMENT]]+Q299</f>
        <v>232792.7108135781</v>
      </c>
      <c r="R300" s="7">
        <f>+Table1[[#This Row],[INTEREST ]]+R299</f>
        <v>146058.32395717848</v>
      </c>
    </row>
    <row r="301" spans="1:18" x14ac:dyDescent="0.25">
      <c r="A301">
        <f t="shared" si="35"/>
        <v>298</v>
      </c>
      <c r="B301" s="1">
        <f t="shared" si="36"/>
        <v>49675</v>
      </c>
      <c r="C301" s="6">
        <f t="shared" si="37"/>
        <v>66917.345205661535</v>
      </c>
      <c r="D301" s="7">
        <f>PPMT(Inputs!$B$4/12,A301,Inputs!$B$5*12,-'Amortization Table'!$C$4)</f>
        <v>959.50544910589963</v>
      </c>
      <c r="E301" s="7">
        <f>IPMT(Inputs!$B$4/12,'Amortization Table'!A301,Inputs!$B$5*12,-'Amortization Table'!$C$4)</f>
        <v>216.08726055994862</v>
      </c>
      <c r="F301" s="7">
        <f t="shared" si="32"/>
        <v>1175.5927096658484</v>
      </c>
      <c r="G301" s="6">
        <f t="shared" si="33"/>
        <v>65957.839756555637</v>
      </c>
      <c r="H301" s="5">
        <f>+H300+Table1[[#This Row],[PRINCIPAL]]</f>
        <v>184042.16024344435</v>
      </c>
      <c r="I301" s="7">
        <f>Table1[[#This Row],[INTEREST]]+I300</f>
        <v>166284.4672369785</v>
      </c>
      <c r="J301" s="11"/>
      <c r="K301" s="7">
        <f t="shared" si="34"/>
        <v>17207.289186421785</v>
      </c>
      <c r="L301" s="7">
        <f>+References!$B$1-Table1[[#This Row],[INTEREST ]]</f>
        <v>1120.0275050013611</v>
      </c>
      <c r="M301" s="5">
        <f>+Inputs!$B$11</f>
        <v>100</v>
      </c>
      <c r="N301" s="7">
        <f>+Table1[[#This Row],[BEGINNING BALANCE ]]*Inputs!$B$4/12</f>
        <v>55.56520466448702</v>
      </c>
      <c r="O301" s="7">
        <f>+SUM(Table1[[#This Row],[PRINCIPAL ]:[INTEREST ]])</f>
        <v>1275.5927096658481</v>
      </c>
      <c r="P301" s="7">
        <f>+Table1[[#This Row],[BEGINNING BALANCE ]]-Table1[[#This Row],[PRINCIPAL ]]-Table1[[#This Row],[EXTRA PAYMENT]]</f>
        <v>15987.261681420425</v>
      </c>
      <c r="Q301" s="5">
        <f>+Table1[[#This Row],[PRINCIPAL ]]+Table1[[#This Row],[EXTRA PAYMENT]]+Q300</f>
        <v>234012.73831857948</v>
      </c>
      <c r="R301" s="7">
        <f>+Table1[[#This Row],[INTEREST ]]+R300</f>
        <v>146113.88916184296</v>
      </c>
    </row>
    <row r="302" spans="1:18" x14ac:dyDescent="0.25">
      <c r="A302">
        <f t="shared" si="35"/>
        <v>299</v>
      </c>
      <c r="B302" s="1">
        <f t="shared" si="36"/>
        <v>49706</v>
      </c>
      <c r="C302" s="6">
        <f t="shared" si="37"/>
        <v>65957.839756555637</v>
      </c>
      <c r="D302" s="7">
        <f>PPMT(Inputs!$B$4/12,A302,Inputs!$B$5*12,-'Amortization Table'!$C$4)</f>
        <v>962.60385211863729</v>
      </c>
      <c r="E302" s="7">
        <f>IPMT(Inputs!$B$4/12,'Amortization Table'!A302,Inputs!$B$5*12,-'Amortization Table'!$C$4)</f>
        <v>212.98885754721081</v>
      </c>
      <c r="F302" s="7">
        <f t="shared" si="32"/>
        <v>1175.5927096658481</v>
      </c>
      <c r="G302" s="6">
        <f t="shared" si="33"/>
        <v>64995.235904437002</v>
      </c>
      <c r="H302" s="5">
        <f>+H301+Table1[[#This Row],[PRINCIPAL]]</f>
        <v>185004.76409556298</v>
      </c>
      <c r="I302" s="7">
        <f>Table1[[#This Row],[INTEREST]]+I301</f>
        <v>166497.4560945257</v>
      </c>
      <c r="J302" s="11"/>
      <c r="K302" s="7">
        <f t="shared" si="34"/>
        <v>15987.261681420425</v>
      </c>
      <c r="L302" s="7">
        <f>+References!$B$1-Table1[[#This Row],[INTEREST ]]</f>
        <v>1123.9671771529281</v>
      </c>
      <c r="M302" s="5">
        <f>+Inputs!$B$11</f>
        <v>100</v>
      </c>
      <c r="N302" s="7">
        <f>+Table1[[#This Row],[BEGINNING BALANCE ]]*Inputs!$B$4/12</f>
        <v>51.625532512920124</v>
      </c>
      <c r="O302" s="7">
        <f>+SUM(Table1[[#This Row],[PRINCIPAL ]:[INTEREST ]])</f>
        <v>1275.5927096658481</v>
      </c>
      <c r="P302" s="7">
        <f>+Table1[[#This Row],[BEGINNING BALANCE ]]-Table1[[#This Row],[PRINCIPAL ]]-Table1[[#This Row],[EXTRA PAYMENT]]</f>
        <v>14763.294504267496</v>
      </c>
      <c r="Q302" s="5">
        <f>+Table1[[#This Row],[PRINCIPAL ]]+Table1[[#This Row],[EXTRA PAYMENT]]+Q301</f>
        <v>235236.7054957324</v>
      </c>
      <c r="R302" s="7">
        <f>+Table1[[#This Row],[INTEREST ]]+R301</f>
        <v>146165.51469435589</v>
      </c>
    </row>
    <row r="303" spans="1:18" x14ac:dyDescent="0.25">
      <c r="A303">
        <f t="shared" si="35"/>
        <v>300</v>
      </c>
      <c r="B303" s="1">
        <f t="shared" si="36"/>
        <v>49735</v>
      </c>
      <c r="C303" s="6">
        <f t="shared" si="37"/>
        <v>64995.235904437002</v>
      </c>
      <c r="D303" s="7">
        <f>PPMT(Inputs!$B$4/12,A303,Inputs!$B$5*12,-'Amortization Table'!$C$4)</f>
        <v>965.71226039110377</v>
      </c>
      <c r="E303" s="7">
        <f>IPMT(Inputs!$B$4/12,'Amortization Table'!A303,Inputs!$B$5*12,-'Amortization Table'!$C$4)</f>
        <v>209.88044927474436</v>
      </c>
      <c r="F303" s="7">
        <f t="shared" si="32"/>
        <v>1175.5927096658481</v>
      </c>
      <c r="G303" s="6">
        <f t="shared" si="33"/>
        <v>64029.523644045898</v>
      </c>
      <c r="H303" s="5">
        <f>+H302+Table1[[#This Row],[PRINCIPAL]]</f>
        <v>185970.47635595407</v>
      </c>
      <c r="I303" s="7">
        <f>Table1[[#This Row],[INTEREST]]+I302</f>
        <v>166707.33654380045</v>
      </c>
      <c r="J303" s="11"/>
      <c r="K303" s="7">
        <f t="shared" si="34"/>
        <v>14763.294504267496</v>
      </c>
      <c r="L303" s="7">
        <f>+References!$B$1-Table1[[#This Row],[INTEREST ]]</f>
        <v>1127.9195711624843</v>
      </c>
      <c r="M303" s="5">
        <f>+Inputs!$B$11</f>
        <v>100</v>
      </c>
      <c r="N303" s="7">
        <f>+Table1[[#This Row],[BEGINNING BALANCE ]]*Inputs!$B$4/12</f>
        <v>47.673138503363788</v>
      </c>
      <c r="O303" s="7">
        <f>+SUM(Table1[[#This Row],[PRINCIPAL ]:[INTEREST ]])</f>
        <v>1275.5927096658481</v>
      </c>
      <c r="P303" s="7">
        <f>+Table1[[#This Row],[BEGINNING BALANCE ]]-Table1[[#This Row],[PRINCIPAL ]]-Table1[[#This Row],[EXTRA PAYMENT]]</f>
        <v>13535.374933105013</v>
      </c>
      <c r="Q303" s="5">
        <f>+Table1[[#This Row],[PRINCIPAL ]]+Table1[[#This Row],[EXTRA PAYMENT]]+Q302</f>
        <v>236464.62506689489</v>
      </c>
      <c r="R303" s="7">
        <f>+Table1[[#This Row],[INTEREST ]]+R302</f>
        <v>146213.18783285926</v>
      </c>
    </row>
    <row r="304" spans="1:18" x14ac:dyDescent="0.25">
      <c r="A304">
        <f t="shared" si="35"/>
        <v>301</v>
      </c>
      <c r="B304" s="1">
        <f t="shared" si="36"/>
        <v>49766</v>
      </c>
      <c r="C304" s="6">
        <f t="shared" si="37"/>
        <v>64029.523644045898</v>
      </c>
      <c r="D304" s="7">
        <f>PPMT(Inputs!$B$4/12,A304,Inputs!$B$5*12,-'Amortization Table'!$C$4)</f>
        <v>968.83070623194999</v>
      </c>
      <c r="E304" s="7">
        <f>IPMT(Inputs!$B$4/12,'Amortization Table'!A304,Inputs!$B$5*12,-'Amortization Table'!$C$4)</f>
        <v>206.76200343389809</v>
      </c>
      <c r="F304" s="7">
        <f t="shared" si="32"/>
        <v>1175.5927096658481</v>
      </c>
      <c r="G304" s="6">
        <f t="shared" si="33"/>
        <v>63060.692937813947</v>
      </c>
      <c r="H304" s="5">
        <f>+H303+Table1[[#This Row],[PRINCIPAL]]</f>
        <v>186939.30706218601</v>
      </c>
      <c r="I304" s="7">
        <f>Table1[[#This Row],[INTEREST]]+I303</f>
        <v>166914.09854723435</v>
      </c>
      <c r="J304" s="11"/>
      <c r="K304" s="7">
        <f t="shared" si="34"/>
        <v>13535.374933105013</v>
      </c>
      <c r="L304" s="7">
        <f>+References!$B$1-Table1[[#This Row],[INTEREST ]]</f>
        <v>1131.8847281110297</v>
      </c>
      <c r="M304" s="5">
        <f>+Inputs!$B$11</f>
        <v>100</v>
      </c>
      <c r="N304" s="7">
        <f>+Table1[[#This Row],[BEGINNING BALANCE ]]*Inputs!$B$4/12</f>
        <v>43.707981554818275</v>
      </c>
      <c r="O304" s="7">
        <f>+SUM(Table1[[#This Row],[PRINCIPAL ]:[INTEREST ]])</f>
        <v>1275.5927096658479</v>
      </c>
      <c r="P304" s="7">
        <f>+Table1[[#This Row],[BEGINNING BALANCE ]]-Table1[[#This Row],[PRINCIPAL ]]-Table1[[#This Row],[EXTRA PAYMENT]]</f>
        <v>12303.490204993983</v>
      </c>
      <c r="Q304" s="5">
        <f>+Table1[[#This Row],[PRINCIPAL ]]+Table1[[#This Row],[EXTRA PAYMENT]]+Q303</f>
        <v>237696.50979500593</v>
      </c>
      <c r="R304" s="7">
        <f>+Table1[[#This Row],[INTEREST ]]+R303</f>
        <v>146256.89581441408</v>
      </c>
    </row>
    <row r="305" spans="1:18" x14ac:dyDescent="0.25">
      <c r="A305">
        <f t="shared" si="35"/>
        <v>302</v>
      </c>
      <c r="B305" s="1">
        <f t="shared" si="36"/>
        <v>49796</v>
      </c>
      <c r="C305" s="6">
        <f t="shared" si="37"/>
        <v>63060.692937813947</v>
      </c>
      <c r="D305" s="7">
        <f>PPMT(Inputs!$B$4/12,A305,Inputs!$B$5*12,-'Amortization Table'!$C$4)</f>
        <v>971.95922205415729</v>
      </c>
      <c r="E305" s="7">
        <f>IPMT(Inputs!$B$4/12,'Amortization Table'!A305,Inputs!$B$5*12,-'Amortization Table'!$C$4)</f>
        <v>203.63348761169078</v>
      </c>
      <c r="F305" s="7">
        <f t="shared" si="32"/>
        <v>1175.5927096658481</v>
      </c>
      <c r="G305" s="6">
        <f t="shared" si="33"/>
        <v>62088.733715759787</v>
      </c>
      <c r="H305" s="5">
        <f>+H304+Table1[[#This Row],[PRINCIPAL]]</f>
        <v>187911.26628424018</v>
      </c>
      <c r="I305" s="7">
        <f>Table1[[#This Row],[INTEREST]]+I304</f>
        <v>167117.73203484603</v>
      </c>
      <c r="J305" s="11"/>
      <c r="K305" s="7">
        <f t="shared" si="34"/>
        <v>12303.490204993983</v>
      </c>
      <c r="L305" s="7">
        <f>+References!$B$1-Table1[[#This Row],[INTEREST ]]</f>
        <v>1135.8626892122218</v>
      </c>
      <c r="M305" s="5">
        <f>+Inputs!$B$11</f>
        <v>100</v>
      </c>
      <c r="N305" s="7">
        <f>+Table1[[#This Row],[BEGINNING BALANCE ]]*Inputs!$B$4/12</f>
        <v>39.730020453626402</v>
      </c>
      <c r="O305" s="7">
        <f>+SUM(Table1[[#This Row],[PRINCIPAL ]:[INTEREST ]])</f>
        <v>1275.5927096658481</v>
      </c>
      <c r="P305" s="7">
        <f>+Table1[[#This Row],[BEGINNING BALANCE ]]-Table1[[#This Row],[PRINCIPAL ]]-Table1[[#This Row],[EXTRA PAYMENT]]</f>
        <v>11067.627515781762</v>
      </c>
      <c r="Q305" s="5">
        <f>+Table1[[#This Row],[PRINCIPAL ]]+Table1[[#This Row],[EXTRA PAYMENT]]+Q304</f>
        <v>238932.37248421815</v>
      </c>
      <c r="R305" s="7">
        <f>+Table1[[#This Row],[INTEREST ]]+R304</f>
        <v>146296.62583486771</v>
      </c>
    </row>
    <row r="306" spans="1:18" x14ac:dyDescent="0.25">
      <c r="A306">
        <f t="shared" si="35"/>
        <v>303</v>
      </c>
      <c r="B306" s="1">
        <f t="shared" si="36"/>
        <v>49827</v>
      </c>
      <c r="C306" s="6">
        <f t="shared" si="37"/>
        <v>62088.733715759787</v>
      </c>
      <c r="D306" s="7">
        <f>PPMT(Inputs!$B$4/12,A306,Inputs!$B$5*12,-'Amortization Table'!$C$4)</f>
        <v>975.09784037537395</v>
      </c>
      <c r="E306" s="7">
        <f>IPMT(Inputs!$B$4/12,'Amortization Table'!A306,Inputs!$B$5*12,-'Amortization Table'!$C$4)</f>
        <v>200.49486929047421</v>
      </c>
      <c r="F306" s="7">
        <f t="shared" si="32"/>
        <v>1175.5927096658481</v>
      </c>
      <c r="G306" s="6">
        <f t="shared" si="33"/>
        <v>61113.635875384411</v>
      </c>
      <c r="H306" s="5">
        <f>+H305+Table1[[#This Row],[PRINCIPAL]]</f>
        <v>188886.36412461556</v>
      </c>
      <c r="I306" s="7">
        <f>Table1[[#This Row],[INTEREST]]+I305</f>
        <v>167318.22690413651</v>
      </c>
      <c r="J306" s="11"/>
      <c r="K306" s="7">
        <f t="shared" si="34"/>
        <v>11067.627515781762</v>
      </c>
      <c r="L306" s="7">
        <f>+References!$B$1-Table1[[#This Row],[INTEREST ]]</f>
        <v>1139.853495812803</v>
      </c>
      <c r="M306" s="5">
        <f>+Inputs!$B$11</f>
        <v>100</v>
      </c>
      <c r="N306" s="7">
        <f>+Table1[[#This Row],[BEGINNING BALANCE ]]*Inputs!$B$4/12</f>
        <v>35.739213853045271</v>
      </c>
      <c r="O306" s="7">
        <f>+SUM(Table1[[#This Row],[PRINCIPAL ]:[INTEREST ]])</f>
        <v>1275.5927096658484</v>
      </c>
      <c r="P306" s="7">
        <f>+Table1[[#This Row],[BEGINNING BALANCE ]]-Table1[[#This Row],[PRINCIPAL ]]-Table1[[#This Row],[EXTRA PAYMENT]]</f>
        <v>9827.7740199689579</v>
      </c>
      <c r="Q306" s="5">
        <f>+Table1[[#This Row],[PRINCIPAL ]]+Table1[[#This Row],[EXTRA PAYMENT]]+Q305</f>
        <v>240172.22598003095</v>
      </c>
      <c r="R306" s="7">
        <f>+Table1[[#This Row],[INTEREST ]]+R305</f>
        <v>146332.36504872076</v>
      </c>
    </row>
    <row r="307" spans="1:18" x14ac:dyDescent="0.25">
      <c r="A307">
        <f t="shared" si="35"/>
        <v>304</v>
      </c>
      <c r="B307" s="1">
        <f t="shared" si="36"/>
        <v>49857</v>
      </c>
      <c r="C307" s="6">
        <f t="shared" si="37"/>
        <v>61113.635875384411</v>
      </c>
      <c r="D307" s="7">
        <f>PPMT(Inputs!$B$4/12,A307,Inputs!$B$5*12,-'Amortization Table'!$C$4)</f>
        <v>978.24659381825279</v>
      </c>
      <c r="E307" s="7">
        <f>IPMT(Inputs!$B$4/12,'Amortization Table'!A307,Inputs!$B$5*12,-'Amortization Table'!$C$4)</f>
        <v>197.34611584759537</v>
      </c>
      <c r="F307" s="7">
        <f t="shared" si="32"/>
        <v>1175.5927096658481</v>
      </c>
      <c r="G307" s="6">
        <f t="shared" si="33"/>
        <v>60135.38928156616</v>
      </c>
      <c r="H307" s="5">
        <f>+H306+Table1[[#This Row],[PRINCIPAL]]</f>
        <v>189864.6107184338</v>
      </c>
      <c r="I307" s="7">
        <f>Table1[[#This Row],[INTEREST]]+I306</f>
        <v>167515.57301998409</v>
      </c>
      <c r="J307" s="11"/>
      <c r="K307" s="7">
        <f t="shared" si="34"/>
        <v>9827.7740199689579</v>
      </c>
      <c r="L307" s="7">
        <f>+References!$B$1-Table1[[#This Row],[INTEREST ]]</f>
        <v>1143.8571893930316</v>
      </c>
      <c r="M307" s="5">
        <f>+Inputs!$B$11</f>
        <v>100</v>
      </c>
      <c r="N307" s="7">
        <f>+Table1[[#This Row],[BEGINNING BALANCE ]]*Inputs!$B$4/12</f>
        <v>31.735520272816427</v>
      </c>
      <c r="O307" s="7">
        <f>+SUM(Table1[[#This Row],[PRINCIPAL ]:[INTEREST ]])</f>
        <v>1275.5927096658481</v>
      </c>
      <c r="P307" s="7">
        <f>+Table1[[#This Row],[BEGINNING BALANCE ]]-Table1[[#This Row],[PRINCIPAL ]]-Table1[[#This Row],[EXTRA PAYMENT]]</f>
        <v>8583.9168305759267</v>
      </c>
      <c r="Q307" s="5">
        <f>+Table1[[#This Row],[PRINCIPAL ]]+Table1[[#This Row],[EXTRA PAYMENT]]+Q306</f>
        <v>241416.08316942398</v>
      </c>
      <c r="R307" s="7">
        <f>+Table1[[#This Row],[INTEREST ]]+R306</f>
        <v>146364.10056899357</v>
      </c>
    </row>
    <row r="308" spans="1:18" x14ac:dyDescent="0.25">
      <c r="A308">
        <f t="shared" si="35"/>
        <v>305</v>
      </c>
      <c r="B308" s="1">
        <f t="shared" si="36"/>
        <v>49888</v>
      </c>
      <c r="C308" s="6">
        <f t="shared" si="37"/>
        <v>60135.38928156616</v>
      </c>
      <c r="D308" s="7">
        <f>PPMT(Inputs!$B$4/12,A308,Inputs!$B$5*12,-'Amortization Table'!$C$4)</f>
        <v>981.40551511079082</v>
      </c>
      <c r="E308" s="7">
        <f>IPMT(Inputs!$B$4/12,'Amortization Table'!A308,Inputs!$B$5*12,-'Amortization Table'!$C$4)</f>
        <v>194.18719455505729</v>
      </c>
      <c r="F308" s="7">
        <f t="shared" si="32"/>
        <v>1175.5927096658481</v>
      </c>
      <c r="G308" s="6">
        <f t="shared" si="33"/>
        <v>59153.983766455371</v>
      </c>
      <c r="H308" s="5">
        <f>+H307+Table1[[#This Row],[PRINCIPAL]]</f>
        <v>190846.01623354459</v>
      </c>
      <c r="I308" s="7">
        <f>Table1[[#This Row],[INTEREST]]+I307</f>
        <v>167709.76021453916</v>
      </c>
      <c r="J308" s="11"/>
      <c r="K308" s="7">
        <f t="shared" si="34"/>
        <v>8583.9168305759267</v>
      </c>
      <c r="L308" s="7">
        <f>+References!$B$1-Table1[[#This Row],[INTEREST ]]</f>
        <v>1147.8738115671133</v>
      </c>
      <c r="M308" s="5">
        <f>+Inputs!$B$11</f>
        <v>100</v>
      </c>
      <c r="N308" s="7">
        <f>+Table1[[#This Row],[BEGINNING BALANCE ]]*Inputs!$B$4/12</f>
        <v>27.718898098734766</v>
      </c>
      <c r="O308" s="7">
        <f>+SUM(Table1[[#This Row],[PRINCIPAL ]:[INTEREST ]])</f>
        <v>1275.5927096658481</v>
      </c>
      <c r="P308" s="7">
        <f>+Table1[[#This Row],[BEGINNING BALANCE ]]-Table1[[#This Row],[PRINCIPAL ]]-Table1[[#This Row],[EXTRA PAYMENT]]</f>
        <v>7336.0430190088136</v>
      </c>
      <c r="Q308" s="5">
        <f>+Table1[[#This Row],[PRINCIPAL ]]+Table1[[#This Row],[EXTRA PAYMENT]]+Q307</f>
        <v>242663.95698099109</v>
      </c>
      <c r="R308" s="7">
        <f>+Table1[[#This Row],[INTEREST ]]+R307</f>
        <v>146391.81946709231</v>
      </c>
    </row>
    <row r="309" spans="1:18" x14ac:dyDescent="0.25">
      <c r="A309">
        <f t="shared" si="35"/>
        <v>306</v>
      </c>
      <c r="B309" s="1">
        <f t="shared" si="36"/>
        <v>49919</v>
      </c>
      <c r="C309" s="6">
        <f t="shared" si="37"/>
        <v>59153.983766455371</v>
      </c>
      <c r="D309" s="7">
        <f>PPMT(Inputs!$B$4/12,A309,Inputs!$B$5*12,-'Amortization Table'!$C$4)</f>
        <v>984.57463708666955</v>
      </c>
      <c r="E309" s="7">
        <f>IPMT(Inputs!$B$4/12,'Amortization Table'!A309,Inputs!$B$5*12,-'Amortization Table'!$C$4)</f>
        <v>191.01807257917869</v>
      </c>
      <c r="F309" s="7">
        <f t="shared" si="32"/>
        <v>1175.5927096658484</v>
      </c>
      <c r="G309" s="6">
        <f t="shared" si="33"/>
        <v>58169.409129368702</v>
      </c>
      <c r="H309" s="5">
        <f>+H308+Table1[[#This Row],[PRINCIPAL]]</f>
        <v>191830.59087063128</v>
      </c>
      <c r="I309" s="7">
        <f>Table1[[#This Row],[INTEREST]]+I308</f>
        <v>167900.77828711833</v>
      </c>
      <c r="J309" s="11"/>
      <c r="K309" s="7">
        <f t="shared" si="34"/>
        <v>7336.0430190088136</v>
      </c>
      <c r="L309" s="7">
        <f>+References!$B$1-Table1[[#This Row],[INTEREST ]]</f>
        <v>1151.9034040836323</v>
      </c>
      <c r="M309" s="5">
        <f>+Inputs!$B$11</f>
        <v>100</v>
      </c>
      <c r="N309" s="7">
        <f>+Table1[[#This Row],[BEGINNING BALANCE ]]*Inputs!$B$4/12</f>
        <v>23.689305582215962</v>
      </c>
      <c r="O309" s="7">
        <f>+SUM(Table1[[#This Row],[PRINCIPAL ]:[INTEREST ]])</f>
        <v>1275.5927096658481</v>
      </c>
      <c r="P309" s="7">
        <f>+Table1[[#This Row],[BEGINNING BALANCE ]]-Table1[[#This Row],[PRINCIPAL ]]-Table1[[#This Row],[EXTRA PAYMENT]]</f>
        <v>6084.1396149251814</v>
      </c>
      <c r="Q309" s="5">
        <f>+Table1[[#This Row],[PRINCIPAL ]]+Table1[[#This Row],[EXTRA PAYMENT]]+Q308</f>
        <v>243915.86038507472</v>
      </c>
      <c r="R309" s="7">
        <f>+Table1[[#This Row],[INTEREST ]]+R308</f>
        <v>146415.50877267454</v>
      </c>
    </row>
    <row r="310" spans="1:18" x14ac:dyDescent="0.25">
      <c r="A310">
        <f t="shared" si="35"/>
        <v>307</v>
      </c>
      <c r="B310" s="1">
        <f t="shared" si="36"/>
        <v>49949</v>
      </c>
      <c r="C310" s="6">
        <f t="shared" si="37"/>
        <v>58169.409129368702</v>
      </c>
      <c r="D310" s="7">
        <f>PPMT(Inputs!$B$4/12,A310,Inputs!$B$5*12,-'Amortization Table'!$C$4)</f>
        <v>987.75399268559522</v>
      </c>
      <c r="E310" s="7">
        <f>IPMT(Inputs!$B$4/12,'Amortization Table'!A310,Inputs!$B$5*12,-'Amortization Table'!$C$4)</f>
        <v>187.83871698025297</v>
      </c>
      <c r="F310" s="7">
        <f t="shared" si="32"/>
        <v>1175.5927096658481</v>
      </c>
      <c r="G310" s="6">
        <f t="shared" si="33"/>
        <v>57181.655136683105</v>
      </c>
      <c r="H310" s="5">
        <f>+H309+Table1[[#This Row],[PRINCIPAL]]</f>
        <v>192818.34486331686</v>
      </c>
      <c r="I310" s="7">
        <f>Table1[[#This Row],[INTEREST]]+I309</f>
        <v>168088.61700409857</v>
      </c>
      <c r="J310" s="11"/>
      <c r="K310" s="7">
        <f t="shared" si="34"/>
        <v>6084.1396149251814</v>
      </c>
      <c r="L310" s="7">
        <f>+References!$B$1-Table1[[#This Row],[INTEREST ]]</f>
        <v>1155.9460088259855</v>
      </c>
      <c r="M310" s="5">
        <f>+Inputs!$B$11</f>
        <v>100</v>
      </c>
      <c r="N310" s="7">
        <f>+Table1[[#This Row],[BEGINNING BALANCE ]]*Inputs!$B$4/12</f>
        <v>19.646700839862564</v>
      </c>
      <c r="O310" s="7">
        <f>+SUM(Table1[[#This Row],[PRINCIPAL ]:[INTEREST ]])</f>
        <v>1275.5927096658481</v>
      </c>
      <c r="P310" s="7">
        <f>+Table1[[#This Row],[BEGINNING BALANCE ]]-Table1[[#This Row],[PRINCIPAL ]]-Table1[[#This Row],[EXTRA PAYMENT]]</f>
        <v>4828.1936060991957</v>
      </c>
      <c r="Q310" s="5">
        <f>+Table1[[#This Row],[PRINCIPAL ]]+Table1[[#This Row],[EXTRA PAYMENT]]+Q309</f>
        <v>245171.80639390071</v>
      </c>
      <c r="R310" s="7">
        <f>+Table1[[#This Row],[INTEREST ]]+R309</f>
        <v>146435.1554735144</v>
      </c>
    </row>
    <row r="311" spans="1:18" x14ac:dyDescent="0.25">
      <c r="A311">
        <f t="shared" si="35"/>
        <v>308</v>
      </c>
      <c r="B311" s="1">
        <f t="shared" si="36"/>
        <v>49980</v>
      </c>
      <c r="C311" s="6">
        <f t="shared" si="37"/>
        <v>57181.655136683105</v>
      </c>
      <c r="D311" s="7">
        <f>PPMT(Inputs!$B$4/12,A311,Inputs!$B$5*12,-'Amortization Table'!$C$4)</f>
        <v>990.9436149536424</v>
      </c>
      <c r="E311" s="7">
        <f>IPMT(Inputs!$B$4/12,'Amortization Table'!A311,Inputs!$B$5*12,-'Amortization Table'!$C$4)</f>
        <v>184.64909471220577</v>
      </c>
      <c r="F311" s="7">
        <f t="shared" si="32"/>
        <v>1175.5927096658481</v>
      </c>
      <c r="G311" s="6">
        <f t="shared" si="33"/>
        <v>56190.711521729463</v>
      </c>
      <c r="H311" s="5">
        <f>+H310+Table1[[#This Row],[PRINCIPAL]]</f>
        <v>193809.28847827049</v>
      </c>
      <c r="I311" s="7">
        <f>Table1[[#This Row],[INTEREST]]+I310</f>
        <v>168273.26609881077</v>
      </c>
      <c r="J311" s="11"/>
      <c r="K311" s="7">
        <f t="shared" si="34"/>
        <v>4828.1936060991957</v>
      </c>
      <c r="L311" s="7">
        <f>+References!$B$1-Table1[[#This Row],[INTEREST ]]</f>
        <v>1160.0016678128195</v>
      </c>
      <c r="M311" s="5">
        <f>+Inputs!$B$11</f>
        <v>100</v>
      </c>
      <c r="N311" s="7">
        <f>+Table1[[#This Row],[BEGINNING BALANCE ]]*Inputs!$B$4/12</f>
        <v>15.591041853028651</v>
      </c>
      <c r="O311" s="7">
        <f>+SUM(Table1[[#This Row],[PRINCIPAL ]:[INTEREST ]])</f>
        <v>1275.5927096658481</v>
      </c>
      <c r="P311" s="7">
        <f>+Table1[[#This Row],[BEGINNING BALANCE ]]-Table1[[#This Row],[PRINCIPAL ]]-Table1[[#This Row],[EXTRA PAYMENT]]</f>
        <v>3568.1919382863762</v>
      </c>
      <c r="Q311" s="5">
        <f>+Table1[[#This Row],[PRINCIPAL ]]+Table1[[#This Row],[EXTRA PAYMENT]]+Q310</f>
        <v>246431.80806171353</v>
      </c>
      <c r="R311" s="7">
        <f>+Table1[[#This Row],[INTEREST ]]+R310</f>
        <v>146450.74651536744</v>
      </c>
    </row>
    <row r="312" spans="1:18" x14ac:dyDescent="0.25">
      <c r="A312">
        <f t="shared" si="35"/>
        <v>309</v>
      </c>
      <c r="B312" s="1">
        <f t="shared" si="36"/>
        <v>50010</v>
      </c>
      <c r="C312" s="6">
        <f t="shared" si="37"/>
        <v>56190.711521729463</v>
      </c>
      <c r="D312" s="7">
        <f>PPMT(Inputs!$B$4/12,A312,Inputs!$B$5*12,-'Amortization Table'!$C$4)</f>
        <v>994.14353704359689</v>
      </c>
      <c r="E312" s="7">
        <f>IPMT(Inputs!$B$4/12,'Amortization Table'!A312,Inputs!$B$5*12,-'Amortization Table'!$C$4)</f>
        <v>181.4491726222513</v>
      </c>
      <c r="F312" s="7">
        <f t="shared" si="32"/>
        <v>1175.5927096658481</v>
      </c>
      <c r="G312" s="6">
        <f t="shared" si="33"/>
        <v>55196.567984685869</v>
      </c>
      <c r="H312" s="5">
        <f>+H311+Table1[[#This Row],[PRINCIPAL]]</f>
        <v>194803.43201531409</v>
      </c>
      <c r="I312" s="7">
        <f>Table1[[#This Row],[INTEREST]]+I311</f>
        <v>168454.71527143303</v>
      </c>
      <c r="J312" s="11"/>
      <c r="K312" s="7">
        <f t="shared" si="34"/>
        <v>3568.1919382863762</v>
      </c>
      <c r="L312" s="7">
        <f>+References!$B$1-Table1[[#This Row],[INTEREST ]]</f>
        <v>1164.0704231984651</v>
      </c>
      <c r="M312" s="5">
        <f>+Inputs!$B$11</f>
        <v>100</v>
      </c>
      <c r="N312" s="7">
        <f>+Table1[[#This Row],[BEGINNING BALANCE ]]*Inputs!$B$4/12</f>
        <v>11.52228646738309</v>
      </c>
      <c r="O312" s="7">
        <f>+SUM(Table1[[#This Row],[PRINCIPAL ]:[INTEREST ]])</f>
        <v>1275.5927096658481</v>
      </c>
      <c r="P312" s="7">
        <f>+Table1[[#This Row],[BEGINNING BALANCE ]]-Table1[[#This Row],[PRINCIPAL ]]-Table1[[#This Row],[EXTRA PAYMENT]]</f>
        <v>2304.1215150879111</v>
      </c>
      <c r="Q312" s="5">
        <f>+Table1[[#This Row],[PRINCIPAL ]]+Table1[[#This Row],[EXTRA PAYMENT]]+Q311</f>
        <v>247695.87848491198</v>
      </c>
      <c r="R312" s="7">
        <f>+Table1[[#This Row],[INTEREST ]]+R311</f>
        <v>146462.26880183481</v>
      </c>
    </row>
    <row r="313" spans="1:18" x14ac:dyDescent="0.25">
      <c r="A313">
        <f t="shared" si="35"/>
        <v>310</v>
      </c>
      <c r="B313" s="1">
        <f t="shared" si="36"/>
        <v>50041</v>
      </c>
      <c r="C313" s="6">
        <f t="shared" si="37"/>
        <v>55196.567984685869</v>
      </c>
      <c r="D313" s="7">
        <f>PPMT(Inputs!$B$4/12,A313,Inputs!$B$5*12,-'Amortization Table'!$C$4)</f>
        <v>997.35379221530013</v>
      </c>
      <c r="E313" s="7">
        <f>IPMT(Inputs!$B$4/12,'Amortization Table'!A313,Inputs!$B$5*12,-'Amortization Table'!$C$4)</f>
        <v>178.23891745054803</v>
      </c>
      <c r="F313" s="7">
        <f t="shared" si="32"/>
        <v>1175.5927096658481</v>
      </c>
      <c r="G313" s="6">
        <f t="shared" si="33"/>
        <v>54199.214192470572</v>
      </c>
      <c r="H313" s="5">
        <f>+H312+Table1[[#This Row],[PRINCIPAL]]</f>
        <v>195800.78580752938</v>
      </c>
      <c r="I313" s="7">
        <f>Table1[[#This Row],[INTEREST]]+I312</f>
        <v>168632.95418888357</v>
      </c>
      <c r="J313" s="11"/>
      <c r="K313" s="7">
        <f t="shared" si="34"/>
        <v>2304.1215150879111</v>
      </c>
      <c r="L313" s="7">
        <f>+References!$B$1-Table1[[#This Row],[INTEREST ]]</f>
        <v>1168.1523172733769</v>
      </c>
      <c r="M313" s="5">
        <f>+Inputs!$B$11</f>
        <v>100</v>
      </c>
      <c r="N313" s="7">
        <f>+Table1[[#This Row],[BEGINNING BALANCE ]]*Inputs!$B$4/12</f>
        <v>7.44039239247138</v>
      </c>
      <c r="O313" s="7">
        <f>+SUM(Table1[[#This Row],[PRINCIPAL ]:[INTEREST ]])</f>
        <v>1275.5927096658481</v>
      </c>
      <c r="P313" s="7">
        <f>+Table1[[#This Row],[BEGINNING BALANCE ]]-Table1[[#This Row],[PRINCIPAL ]]-Table1[[#This Row],[EXTRA PAYMENT]]</f>
        <v>1035.9691978145343</v>
      </c>
      <c r="Q313" s="5">
        <f>+Table1[[#This Row],[PRINCIPAL ]]+Table1[[#This Row],[EXTRA PAYMENT]]+Q312</f>
        <v>248964.03080218536</v>
      </c>
      <c r="R313" s="7">
        <f>+Table1[[#This Row],[INTEREST ]]+R312</f>
        <v>146469.7091942273</v>
      </c>
    </row>
    <row r="314" spans="1:18" x14ac:dyDescent="0.25">
      <c r="A314">
        <f t="shared" si="35"/>
        <v>311</v>
      </c>
      <c r="B314" s="1">
        <f t="shared" si="36"/>
        <v>50072</v>
      </c>
      <c r="C314" s="6">
        <f t="shared" si="37"/>
        <v>54199.214192470572</v>
      </c>
      <c r="D314" s="7">
        <f>PPMT(Inputs!$B$4/12,A314,Inputs!$B$5*12,-'Amortization Table'!$C$4)</f>
        <v>1000.5744138359954</v>
      </c>
      <c r="E314" s="7">
        <f>IPMT(Inputs!$B$4/12,'Amortization Table'!A314,Inputs!$B$5*12,-'Amortization Table'!$C$4)</f>
        <v>175.01829582985278</v>
      </c>
      <c r="F314" s="7">
        <f t="shared" si="32"/>
        <v>1175.5927096658481</v>
      </c>
      <c r="G314" s="6">
        <f t="shared" si="33"/>
        <v>53198.639778634577</v>
      </c>
      <c r="H314" s="5">
        <f>+H313+Table1[[#This Row],[PRINCIPAL]]</f>
        <v>196801.36022136538</v>
      </c>
      <c r="I314" s="7">
        <f>Table1[[#This Row],[INTEREST]]+I313</f>
        <v>168807.97248471342</v>
      </c>
      <c r="J314" s="11"/>
      <c r="K314" s="7">
        <f t="shared" si="34"/>
        <v>1035.9691978145343</v>
      </c>
      <c r="L314" s="7">
        <f>+References!$B$1-Table1[[#This Row],[INTEREST ]]</f>
        <v>1172.2473924645719</v>
      </c>
      <c r="M314" s="5">
        <f>+Inputs!$B$11</f>
        <v>100</v>
      </c>
      <c r="N314" s="7">
        <f>+Table1[[#This Row],[BEGINNING BALANCE ]]*Inputs!$B$4/12</f>
        <v>3.3453172012760999</v>
      </c>
      <c r="O314" s="7">
        <f>+SUM(Table1[[#This Row],[PRINCIPAL ]:[INTEREST ]])</f>
        <v>1275.5927096658481</v>
      </c>
      <c r="P314" s="7">
        <f>+Table1[[#This Row],[BEGINNING BALANCE ]]-Table1[[#This Row],[PRINCIPAL ]]-Table1[[#This Row],[EXTRA PAYMENT]]</f>
        <v>-236.27819465003768</v>
      </c>
      <c r="Q314" s="5">
        <f>+Table1[[#This Row],[PRINCIPAL ]]+Table1[[#This Row],[EXTRA PAYMENT]]+Q313</f>
        <v>250236.27819464993</v>
      </c>
      <c r="R314" s="7">
        <f>+Table1[[#This Row],[INTEREST ]]+R313</f>
        <v>146473.05451142858</v>
      </c>
    </row>
    <row r="315" spans="1:18" x14ac:dyDescent="0.25">
      <c r="A315">
        <f t="shared" si="35"/>
        <v>312</v>
      </c>
      <c r="B315" s="1">
        <f t="shared" si="36"/>
        <v>50100</v>
      </c>
      <c r="C315" s="6">
        <f t="shared" si="37"/>
        <v>53198.639778634577</v>
      </c>
      <c r="D315" s="7">
        <f>PPMT(Inputs!$B$4/12,A315,Inputs!$B$5*12,-'Amortization Table'!$C$4)</f>
        <v>1003.8054353806741</v>
      </c>
      <c r="E315" s="7">
        <f>IPMT(Inputs!$B$4/12,'Amortization Table'!A315,Inputs!$B$5*12,-'Amortization Table'!$C$4)</f>
        <v>171.78727428517405</v>
      </c>
      <c r="F315" s="7">
        <f t="shared" si="32"/>
        <v>1175.5927096658481</v>
      </c>
      <c r="G315" s="6">
        <f t="shared" si="33"/>
        <v>52194.834343253904</v>
      </c>
      <c r="H315" s="5">
        <f>+H314+Table1[[#This Row],[PRINCIPAL]]</f>
        <v>197805.16565674604</v>
      </c>
      <c r="I315" s="7">
        <f>Table1[[#This Row],[INTEREST]]+I314</f>
        <v>168979.75975899858</v>
      </c>
      <c r="J315" s="11"/>
      <c r="K315" s="7">
        <f t="shared" si="34"/>
        <v>-236.27819465003768</v>
      </c>
      <c r="L315" s="7">
        <f>+References!$B$1-Table1[[#This Row],[INTEREST ]]</f>
        <v>1176.3556913360721</v>
      </c>
      <c r="M315" s="5">
        <f>+Inputs!$B$11</f>
        <v>100</v>
      </c>
      <c r="N315" s="7">
        <f>+Table1[[#This Row],[BEGINNING BALANCE ]]*Inputs!$B$4/12</f>
        <v>-0.76298167022408003</v>
      </c>
      <c r="O315" s="7">
        <f>+SUM(Table1[[#This Row],[PRINCIPAL ]:[INTEREST ]])</f>
        <v>1275.5927096658481</v>
      </c>
      <c r="P315" s="7">
        <f>+Table1[[#This Row],[BEGINNING BALANCE ]]-Table1[[#This Row],[PRINCIPAL ]]-Table1[[#This Row],[EXTRA PAYMENT]]</f>
        <v>-1512.6338859861098</v>
      </c>
      <c r="Q315" s="5">
        <f>+Table1[[#This Row],[PRINCIPAL ]]+Table1[[#This Row],[EXTRA PAYMENT]]+Q314</f>
        <v>251512.633885986</v>
      </c>
      <c r="R315" s="7">
        <f>+Table1[[#This Row],[INTEREST ]]+R314</f>
        <v>146472.29152975837</v>
      </c>
    </row>
    <row r="316" spans="1:18" x14ac:dyDescent="0.25">
      <c r="A316">
        <f t="shared" si="35"/>
        <v>313</v>
      </c>
      <c r="B316" s="1">
        <f t="shared" si="36"/>
        <v>50131</v>
      </c>
      <c r="C316" s="6">
        <f t="shared" si="37"/>
        <v>52194.834343253904</v>
      </c>
      <c r="D316" s="7">
        <f>PPMT(Inputs!$B$4/12,A316,Inputs!$B$5*12,-'Amortization Table'!$C$4)</f>
        <v>1007.0468904324242</v>
      </c>
      <c r="E316" s="7">
        <f>IPMT(Inputs!$B$4/12,'Amortization Table'!A316,Inputs!$B$5*12,-'Amortization Table'!$C$4)</f>
        <v>168.54581923342391</v>
      </c>
      <c r="F316" s="7">
        <f t="shared" si="32"/>
        <v>1175.5927096658481</v>
      </c>
      <c r="G316" s="6">
        <f t="shared" si="33"/>
        <v>51187.787452821482</v>
      </c>
      <c r="H316" s="5">
        <f>+H315+Table1[[#This Row],[PRINCIPAL]]</f>
        <v>198812.21254717847</v>
      </c>
      <c r="I316" s="7">
        <f>Table1[[#This Row],[INTEREST]]+I315</f>
        <v>169148.30557823202</v>
      </c>
      <c r="J316" s="11"/>
      <c r="K316" s="7">
        <f t="shared" si="34"/>
        <v>-1512.6338859861098</v>
      </c>
      <c r="L316" s="7">
        <f>+References!$B$1-Table1[[#This Row],[INTEREST ]]</f>
        <v>1180.477256589345</v>
      </c>
      <c r="M316" s="5">
        <f>+Inputs!$B$11</f>
        <v>100</v>
      </c>
      <c r="N316" s="7">
        <f>+Table1[[#This Row],[BEGINNING BALANCE ]]*Inputs!$B$4/12</f>
        <v>-4.8845469234968126</v>
      </c>
      <c r="O316" s="7">
        <f>+SUM(Table1[[#This Row],[PRINCIPAL ]:[INTEREST ]])</f>
        <v>1275.5927096658481</v>
      </c>
      <c r="P316" s="7">
        <f>+Table1[[#This Row],[BEGINNING BALANCE ]]-Table1[[#This Row],[PRINCIPAL ]]-Table1[[#This Row],[EXTRA PAYMENT]]</f>
        <v>-2793.1111425754548</v>
      </c>
      <c r="Q316" s="5">
        <f>+Table1[[#This Row],[PRINCIPAL ]]+Table1[[#This Row],[EXTRA PAYMENT]]+Q315</f>
        <v>252793.11114257533</v>
      </c>
      <c r="R316" s="7">
        <f>+Table1[[#This Row],[INTEREST ]]+R315</f>
        <v>146467.40698283486</v>
      </c>
    </row>
    <row r="317" spans="1:18" x14ac:dyDescent="0.25">
      <c r="A317">
        <f t="shared" si="35"/>
        <v>314</v>
      </c>
      <c r="B317" s="1">
        <f t="shared" si="36"/>
        <v>50161</v>
      </c>
      <c r="C317" s="6">
        <f t="shared" si="37"/>
        <v>51187.787452821482</v>
      </c>
      <c r="D317" s="7">
        <f>PPMT(Inputs!$B$4/12,A317,Inputs!$B$5*12,-'Amortization Table'!$C$4)</f>
        <v>1010.2988126827789</v>
      </c>
      <c r="E317" s="7">
        <f>IPMT(Inputs!$B$4/12,'Amortization Table'!A317,Inputs!$B$5*12,-'Amortization Table'!$C$4)</f>
        <v>165.29389698306926</v>
      </c>
      <c r="F317" s="7">
        <f t="shared" si="32"/>
        <v>1175.5927096658481</v>
      </c>
      <c r="G317" s="6">
        <f t="shared" si="33"/>
        <v>50177.488640138705</v>
      </c>
      <c r="H317" s="5">
        <f>+H316+Table1[[#This Row],[PRINCIPAL]]</f>
        <v>199822.51135986124</v>
      </c>
      <c r="I317" s="7">
        <f>Table1[[#This Row],[INTEREST]]+I316</f>
        <v>169313.59947521507</v>
      </c>
      <c r="J317" s="11"/>
      <c r="K317" s="7">
        <f t="shared" si="34"/>
        <v>-2793.1111425754548</v>
      </c>
      <c r="L317" s="7">
        <f>+References!$B$1-Table1[[#This Row],[INTEREST ]]</f>
        <v>1184.6121310637479</v>
      </c>
      <c r="M317" s="5">
        <f>+Inputs!$B$11</f>
        <v>100</v>
      </c>
      <c r="N317" s="7">
        <f>+Table1[[#This Row],[BEGINNING BALANCE ]]*Inputs!$B$4/12</f>
        <v>-9.0194213978999063</v>
      </c>
      <c r="O317" s="7">
        <f>+SUM(Table1[[#This Row],[PRINCIPAL ]:[INTEREST ]])</f>
        <v>1275.5927096658481</v>
      </c>
      <c r="P317" s="7">
        <f>+Table1[[#This Row],[BEGINNING BALANCE ]]-Table1[[#This Row],[PRINCIPAL ]]-Table1[[#This Row],[EXTRA PAYMENT]]</f>
        <v>-4077.7232736392025</v>
      </c>
      <c r="Q317" s="5">
        <f>+Table1[[#This Row],[PRINCIPAL ]]+Table1[[#This Row],[EXTRA PAYMENT]]+Q316</f>
        <v>254077.72327363907</v>
      </c>
      <c r="R317" s="7">
        <f>+Table1[[#This Row],[INTEREST ]]+R316</f>
        <v>146458.38756143695</v>
      </c>
    </row>
    <row r="318" spans="1:18" x14ac:dyDescent="0.25">
      <c r="A318">
        <f t="shared" si="35"/>
        <v>315</v>
      </c>
      <c r="B318" s="1">
        <f t="shared" si="36"/>
        <v>50192</v>
      </c>
      <c r="C318" s="6">
        <f t="shared" si="37"/>
        <v>50177.488640138705</v>
      </c>
      <c r="D318" s="7">
        <f>PPMT(Inputs!$B$4/12,A318,Inputs!$B$5*12,-'Amortization Table'!$C$4)</f>
        <v>1013.5612359320669</v>
      </c>
      <c r="E318" s="7">
        <f>IPMT(Inputs!$B$4/12,'Amortization Table'!A318,Inputs!$B$5*12,-'Amortization Table'!$C$4)</f>
        <v>162.03147373378107</v>
      </c>
      <c r="F318" s="7">
        <f t="shared" si="32"/>
        <v>1175.5927096658479</v>
      </c>
      <c r="G318" s="6">
        <f t="shared" si="33"/>
        <v>49163.927404206639</v>
      </c>
      <c r="H318" s="5">
        <f>+H317+Table1[[#This Row],[PRINCIPAL]]</f>
        <v>200836.07259579332</v>
      </c>
      <c r="I318" s="7">
        <f>Table1[[#This Row],[INTEREST]]+I317</f>
        <v>169475.63094894885</v>
      </c>
      <c r="J318" s="11"/>
      <c r="K318" s="7">
        <f t="shared" si="34"/>
        <v>-4077.7232736392025</v>
      </c>
      <c r="L318" s="7">
        <f>+References!$B$1-Table1[[#This Row],[INTEREST ]]</f>
        <v>1188.7603577369748</v>
      </c>
      <c r="M318" s="5">
        <f>+Inputs!$B$11</f>
        <v>100</v>
      </c>
      <c r="N318" s="7">
        <f>+Table1[[#This Row],[BEGINNING BALANCE ]]*Inputs!$B$4/12</f>
        <v>-13.167648071126592</v>
      </c>
      <c r="O318" s="7">
        <f>+SUM(Table1[[#This Row],[PRINCIPAL ]:[INTEREST ]])</f>
        <v>1275.5927096658481</v>
      </c>
      <c r="P318" s="7">
        <f>+Table1[[#This Row],[BEGINNING BALANCE ]]-Table1[[#This Row],[PRINCIPAL ]]-Table1[[#This Row],[EXTRA PAYMENT]]</f>
        <v>-5366.4836313761771</v>
      </c>
      <c r="Q318" s="5">
        <f>+Table1[[#This Row],[PRINCIPAL ]]+Table1[[#This Row],[EXTRA PAYMENT]]+Q317</f>
        <v>255366.48363137606</v>
      </c>
      <c r="R318" s="7">
        <f>+Table1[[#This Row],[INTEREST ]]+R317</f>
        <v>146445.21991336581</v>
      </c>
    </row>
    <row r="319" spans="1:18" x14ac:dyDescent="0.25">
      <c r="A319">
        <f t="shared" si="35"/>
        <v>316</v>
      </c>
      <c r="B319" s="1">
        <f t="shared" si="36"/>
        <v>50222</v>
      </c>
      <c r="C319" s="6">
        <f t="shared" si="37"/>
        <v>49163.927404206639</v>
      </c>
      <c r="D319" s="7">
        <f>PPMT(Inputs!$B$4/12,A319,Inputs!$B$5*12,-'Amortization Table'!$C$4)</f>
        <v>1016.8341940897643</v>
      </c>
      <c r="E319" s="7">
        <f>IPMT(Inputs!$B$4/12,'Amortization Table'!A319,Inputs!$B$5*12,-'Amortization Table'!$C$4)</f>
        <v>158.75851557608379</v>
      </c>
      <c r="F319" s="7">
        <f t="shared" si="32"/>
        <v>1175.5927096658481</v>
      </c>
      <c r="G319" s="6">
        <f t="shared" si="33"/>
        <v>48147.093210116873</v>
      </c>
      <c r="H319" s="5">
        <f>+H318+Table1[[#This Row],[PRINCIPAL]]</f>
        <v>201852.90678988307</v>
      </c>
      <c r="I319" s="7">
        <f>Table1[[#This Row],[INTEREST]]+I318</f>
        <v>169634.38946452492</v>
      </c>
      <c r="J319" s="11"/>
      <c r="K319" s="7">
        <f t="shared" si="34"/>
        <v>-5366.4836313761771</v>
      </c>
      <c r="L319" s="7">
        <f>+References!$B$1-Table1[[#This Row],[INTEREST ]]</f>
        <v>1192.9219797255005</v>
      </c>
      <c r="M319" s="5">
        <f>+Inputs!$B$11</f>
        <v>100</v>
      </c>
      <c r="N319" s="7">
        <f>+Table1[[#This Row],[BEGINNING BALANCE ]]*Inputs!$B$4/12</f>
        <v>-17.329270059652238</v>
      </c>
      <c r="O319" s="7">
        <f>+SUM(Table1[[#This Row],[PRINCIPAL ]:[INTEREST ]])</f>
        <v>1275.5927096658481</v>
      </c>
      <c r="P319" s="7">
        <f>+Table1[[#This Row],[BEGINNING BALANCE ]]-Table1[[#This Row],[PRINCIPAL ]]-Table1[[#This Row],[EXTRA PAYMENT]]</f>
        <v>-6659.405611101678</v>
      </c>
      <c r="Q319" s="5">
        <f>+Table1[[#This Row],[PRINCIPAL ]]+Table1[[#This Row],[EXTRA PAYMENT]]+Q318</f>
        <v>256659.40561110157</v>
      </c>
      <c r="R319" s="7">
        <f>+Table1[[#This Row],[INTEREST ]]+R318</f>
        <v>146427.89064330616</v>
      </c>
    </row>
    <row r="320" spans="1:18" x14ac:dyDescent="0.25">
      <c r="A320">
        <f t="shared" si="35"/>
        <v>317</v>
      </c>
      <c r="B320" s="1">
        <f t="shared" si="36"/>
        <v>50253</v>
      </c>
      <c r="C320" s="6">
        <f t="shared" si="37"/>
        <v>48147.093210116873</v>
      </c>
      <c r="D320" s="7">
        <f>PPMT(Inputs!$B$4/12,A320,Inputs!$B$5*12,-'Amortization Table'!$C$4)</f>
        <v>1020.1177211748459</v>
      </c>
      <c r="E320" s="7">
        <f>IPMT(Inputs!$B$4/12,'Amortization Table'!A320,Inputs!$B$5*12,-'Amortization Table'!$C$4)</f>
        <v>155.47498849100225</v>
      </c>
      <c r="F320" s="7">
        <f t="shared" si="32"/>
        <v>1175.5927096658481</v>
      </c>
      <c r="G320" s="6">
        <f t="shared" si="33"/>
        <v>47126.975488942029</v>
      </c>
      <c r="H320" s="5">
        <f>+H319+Table1[[#This Row],[PRINCIPAL]]</f>
        <v>202873.02451105791</v>
      </c>
      <c r="I320" s="7">
        <f>Table1[[#This Row],[INTEREST]]+I319</f>
        <v>169789.86445301594</v>
      </c>
      <c r="J320" s="11"/>
      <c r="K320" s="7">
        <f t="shared" si="34"/>
        <v>-6659.405611101678</v>
      </c>
      <c r="L320" s="7">
        <f>+References!$B$1-Table1[[#This Row],[INTEREST ]]</f>
        <v>1197.0970402850307</v>
      </c>
      <c r="M320" s="5">
        <f>+Inputs!$B$11</f>
        <v>100</v>
      </c>
      <c r="N320" s="7">
        <f>+Table1[[#This Row],[BEGINNING BALANCE ]]*Inputs!$B$4/12</f>
        <v>-21.5043306191825</v>
      </c>
      <c r="O320" s="7">
        <f>+SUM(Table1[[#This Row],[PRINCIPAL ]:[INTEREST ]])</f>
        <v>1275.5927096658481</v>
      </c>
      <c r="P320" s="7">
        <f>+Table1[[#This Row],[BEGINNING BALANCE ]]-Table1[[#This Row],[PRINCIPAL ]]-Table1[[#This Row],[EXTRA PAYMENT]]</f>
        <v>-7956.5026513867087</v>
      </c>
      <c r="Q320" s="5">
        <f>+Table1[[#This Row],[PRINCIPAL ]]+Table1[[#This Row],[EXTRA PAYMENT]]+Q319</f>
        <v>257956.5026513866</v>
      </c>
      <c r="R320" s="7">
        <f>+Table1[[#This Row],[INTEREST ]]+R319</f>
        <v>146406.38631268698</v>
      </c>
    </row>
    <row r="321" spans="1:18" x14ac:dyDescent="0.25">
      <c r="A321">
        <f t="shared" si="35"/>
        <v>318</v>
      </c>
      <c r="B321" s="1">
        <f t="shared" si="36"/>
        <v>50284</v>
      </c>
      <c r="C321" s="6">
        <f t="shared" si="37"/>
        <v>47126.975488942029</v>
      </c>
      <c r="D321" s="7">
        <f>PPMT(Inputs!$B$4/12,A321,Inputs!$B$5*12,-'Amortization Table'!$C$4)</f>
        <v>1023.4118513161396</v>
      </c>
      <c r="E321" s="7">
        <f>IPMT(Inputs!$B$4/12,'Amortization Table'!A321,Inputs!$B$5*12,-'Amortization Table'!$C$4)</f>
        <v>152.1808583497085</v>
      </c>
      <c r="F321" s="7">
        <f t="shared" si="32"/>
        <v>1175.5927096658481</v>
      </c>
      <c r="G321" s="6">
        <f t="shared" si="33"/>
        <v>46103.563637625892</v>
      </c>
      <c r="H321" s="5">
        <f>+H320+Table1[[#This Row],[PRINCIPAL]]</f>
        <v>203896.43636237405</v>
      </c>
      <c r="I321" s="7">
        <f>Table1[[#This Row],[INTEREST]]+I320</f>
        <v>169942.04531136565</v>
      </c>
      <c r="J321" s="11"/>
      <c r="K321" s="7">
        <f t="shared" si="34"/>
        <v>-7956.5026513867087</v>
      </c>
      <c r="L321" s="7">
        <f>+References!$B$1-Table1[[#This Row],[INTEREST ]]</f>
        <v>1201.2855828109512</v>
      </c>
      <c r="M321" s="5">
        <f>+Inputs!$B$11</f>
        <v>100</v>
      </c>
      <c r="N321" s="7">
        <f>+Table1[[#This Row],[BEGINNING BALANCE ]]*Inputs!$B$4/12</f>
        <v>-25.692873145102912</v>
      </c>
      <c r="O321" s="7">
        <f>+SUM(Table1[[#This Row],[PRINCIPAL ]:[INTEREST ]])</f>
        <v>1275.5927096658481</v>
      </c>
      <c r="P321" s="7">
        <f>+Table1[[#This Row],[BEGINNING BALANCE ]]-Table1[[#This Row],[PRINCIPAL ]]-Table1[[#This Row],[EXTRA PAYMENT]]</f>
        <v>-9257.7882341976601</v>
      </c>
      <c r="Q321" s="5">
        <f>+Table1[[#This Row],[PRINCIPAL ]]+Table1[[#This Row],[EXTRA PAYMENT]]+Q320</f>
        <v>259257.78823419756</v>
      </c>
      <c r="R321" s="7">
        <f>+Table1[[#This Row],[INTEREST ]]+R320</f>
        <v>146380.69343954188</v>
      </c>
    </row>
    <row r="322" spans="1:18" x14ac:dyDescent="0.25">
      <c r="A322">
        <f t="shared" si="35"/>
        <v>319</v>
      </c>
      <c r="B322" s="1">
        <f t="shared" si="36"/>
        <v>50314</v>
      </c>
      <c r="C322" s="6">
        <f t="shared" si="37"/>
        <v>46103.563637625892</v>
      </c>
      <c r="D322" s="7">
        <f>PPMT(Inputs!$B$4/12,A322,Inputs!$B$5*12,-'Amortization Table'!$C$4)</f>
        <v>1026.7166187526814</v>
      </c>
      <c r="E322" s="7">
        <f>IPMT(Inputs!$B$4/12,'Amortization Table'!A322,Inputs!$B$5*12,-'Amortization Table'!$C$4)</f>
        <v>148.87609091316676</v>
      </c>
      <c r="F322" s="7">
        <f t="shared" si="32"/>
        <v>1175.5927096658481</v>
      </c>
      <c r="G322" s="6">
        <f t="shared" si="33"/>
        <v>45076.84701887321</v>
      </c>
      <c r="H322" s="5">
        <f>+H321+Table1[[#This Row],[PRINCIPAL]]</f>
        <v>204923.15298112674</v>
      </c>
      <c r="I322" s="7">
        <f>Table1[[#This Row],[INTEREST]]+I321</f>
        <v>170090.92140227882</v>
      </c>
      <c r="J322" s="11"/>
      <c r="K322" s="7">
        <f t="shared" si="34"/>
        <v>-9257.7882341976601</v>
      </c>
      <c r="L322" s="7">
        <f>+References!$B$1-Table1[[#This Row],[INTEREST ]]</f>
        <v>1205.4876508387781</v>
      </c>
      <c r="M322" s="5">
        <f>+Inputs!$B$11</f>
        <v>100</v>
      </c>
      <c r="N322" s="7">
        <f>+Table1[[#This Row],[BEGINNING BALANCE ]]*Inputs!$B$4/12</f>
        <v>-29.894941172929943</v>
      </c>
      <c r="O322" s="7">
        <f>+SUM(Table1[[#This Row],[PRINCIPAL ]:[INTEREST ]])</f>
        <v>1275.5927096658481</v>
      </c>
      <c r="P322" s="7">
        <f>+Table1[[#This Row],[BEGINNING BALANCE ]]-Table1[[#This Row],[PRINCIPAL ]]-Table1[[#This Row],[EXTRA PAYMENT]]</f>
        <v>-10563.275885036439</v>
      </c>
      <c r="Q322" s="5">
        <f>+Table1[[#This Row],[PRINCIPAL ]]+Table1[[#This Row],[EXTRA PAYMENT]]+Q321</f>
        <v>260563.27588503633</v>
      </c>
      <c r="R322" s="7">
        <f>+Table1[[#This Row],[INTEREST ]]+R321</f>
        <v>146350.79849836894</v>
      </c>
    </row>
    <row r="323" spans="1:18" x14ac:dyDescent="0.25">
      <c r="A323">
        <f t="shared" si="35"/>
        <v>320</v>
      </c>
      <c r="B323" s="1">
        <f t="shared" si="36"/>
        <v>50345</v>
      </c>
      <c r="C323" s="6">
        <f t="shared" si="37"/>
        <v>45076.84701887321</v>
      </c>
      <c r="D323" s="7">
        <f>PPMT(Inputs!$B$4/12,A323,Inputs!$B$5*12,-'Amortization Table'!$C$4)</f>
        <v>1030.0320578340702</v>
      </c>
      <c r="E323" s="7">
        <f>IPMT(Inputs!$B$4/12,'Amortization Table'!A323,Inputs!$B$5*12,-'Amortization Table'!$C$4)</f>
        <v>145.56065183177793</v>
      </c>
      <c r="F323" s="7">
        <f t="shared" si="32"/>
        <v>1175.5927096658481</v>
      </c>
      <c r="G323" s="6">
        <f t="shared" si="33"/>
        <v>44046.814961039141</v>
      </c>
      <c r="H323" s="5">
        <f>+H322+Table1[[#This Row],[PRINCIPAL]]</f>
        <v>205953.1850389608</v>
      </c>
      <c r="I323" s="7">
        <f>Table1[[#This Row],[INTEREST]]+I322</f>
        <v>170236.48205411059</v>
      </c>
      <c r="J323" s="11"/>
      <c r="K323" s="7">
        <f t="shared" si="34"/>
        <v>-10563.275885036439</v>
      </c>
      <c r="L323" s="7">
        <f>+References!$B$1-Table1[[#This Row],[INTEREST ]]</f>
        <v>1209.7032880446116</v>
      </c>
      <c r="M323" s="5">
        <f>+Inputs!$B$11</f>
        <v>100</v>
      </c>
      <c r="N323" s="7">
        <f>+Table1[[#This Row],[BEGINNING BALANCE ]]*Inputs!$B$4/12</f>
        <v>-34.110578378763499</v>
      </c>
      <c r="O323" s="7">
        <f>+SUM(Table1[[#This Row],[PRINCIPAL ]:[INTEREST ]])</f>
        <v>1275.5927096658481</v>
      </c>
      <c r="P323" s="7">
        <f>+Table1[[#This Row],[BEGINNING BALANCE ]]-Table1[[#This Row],[PRINCIPAL ]]-Table1[[#This Row],[EXTRA PAYMENT]]</f>
        <v>-11872.97917308105</v>
      </c>
      <c r="Q323" s="5">
        <f>+Table1[[#This Row],[PRINCIPAL ]]+Table1[[#This Row],[EXTRA PAYMENT]]+Q322</f>
        <v>261872.97917308094</v>
      </c>
      <c r="R323" s="7">
        <f>+Table1[[#This Row],[INTEREST ]]+R322</f>
        <v>146316.68791999019</v>
      </c>
    </row>
    <row r="324" spans="1:18" x14ac:dyDescent="0.25">
      <c r="A324">
        <f t="shared" si="35"/>
        <v>321</v>
      </c>
      <c r="B324" s="1">
        <f t="shared" si="36"/>
        <v>50375</v>
      </c>
      <c r="C324" s="6">
        <f t="shared" si="37"/>
        <v>44046.814961039141</v>
      </c>
      <c r="D324" s="7">
        <f>PPMT(Inputs!$B$4/12,A324,Inputs!$B$5*12,-'Amortization Table'!$C$4)</f>
        <v>1033.3582030208261</v>
      </c>
      <c r="E324" s="7">
        <f>IPMT(Inputs!$B$4/12,'Amortization Table'!A324,Inputs!$B$5*12,-'Amortization Table'!$C$4)</f>
        <v>142.23450664502207</v>
      </c>
      <c r="F324" s="7">
        <f t="shared" ref="F324:F363" si="38">+SUM(D324:E324)</f>
        <v>1175.5927096658481</v>
      </c>
      <c r="G324" s="6">
        <f t="shared" ref="G324:G363" si="39">+C324-D324</f>
        <v>43013.456758018314</v>
      </c>
      <c r="H324" s="5">
        <f>+H323+Table1[[#This Row],[PRINCIPAL]]</f>
        <v>206986.54324198162</v>
      </c>
      <c r="I324" s="7">
        <f>Table1[[#This Row],[INTEREST]]+I323</f>
        <v>170378.71656075562</v>
      </c>
      <c r="J324" s="11"/>
      <c r="K324" s="7">
        <f t="shared" si="34"/>
        <v>-11872.97917308105</v>
      </c>
      <c r="L324" s="7">
        <f>+References!$B$1-Table1[[#This Row],[INTEREST ]]</f>
        <v>1213.9325382455891</v>
      </c>
      <c r="M324" s="5">
        <f>+Inputs!$B$11</f>
        <v>100</v>
      </c>
      <c r="N324" s="7">
        <f>+Table1[[#This Row],[BEGINNING BALANCE ]]*Inputs!$B$4/12</f>
        <v>-38.339828579740889</v>
      </c>
      <c r="O324" s="7">
        <f>+SUM(Table1[[#This Row],[PRINCIPAL ]:[INTEREST ]])</f>
        <v>1275.5927096658481</v>
      </c>
      <c r="P324" s="7">
        <f>+Table1[[#This Row],[BEGINNING BALANCE ]]-Table1[[#This Row],[PRINCIPAL ]]-Table1[[#This Row],[EXTRA PAYMENT]]</f>
        <v>-13186.91171132664</v>
      </c>
      <c r="Q324" s="5">
        <f>+Table1[[#This Row],[PRINCIPAL ]]+Table1[[#This Row],[EXTRA PAYMENT]]+Q323</f>
        <v>263186.91171132651</v>
      </c>
      <c r="R324" s="7">
        <f>+Table1[[#This Row],[INTEREST ]]+R323</f>
        <v>146278.34809141044</v>
      </c>
    </row>
    <row r="325" spans="1:18" x14ac:dyDescent="0.25">
      <c r="A325">
        <f t="shared" si="35"/>
        <v>322</v>
      </c>
      <c r="B325" s="1">
        <f t="shared" si="36"/>
        <v>50406</v>
      </c>
      <c r="C325" s="6">
        <f t="shared" si="37"/>
        <v>43013.456758018314</v>
      </c>
      <c r="D325" s="7">
        <f>PPMT(Inputs!$B$4/12,A325,Inputs!$B$5*12,-'Amortization Table'!$C$4)</f>
        <v>1036.6950888847475</v>
      </c>
      <c r="E325" s="7">
        <f>IPMT(Inputs!$B$4/12,'Amortization Table'!A325,Inputs!$B$5*12,-'Amortization Table'!$C$4)</f>
        <v>138.89762078110067</v>
      </c>
      <c r="F325" s="7">
        <f t="shared" si="38"/>
        <v>1175.5927096658481</v>
      </c>
      <c r="G325" s="6">
        <f t="shared" si="39"/>
        <v>41976.761669133564</v>
      </c>
      <c r="H325" s="5">
        <f>+H324+Table1[[#This Row],[PRINCIPAL]]</f>
        <v>208023.23833086636</v>
      </c>
      <c r="I325" s="7">
        <f>Table1[[#This Row],[INTEREST]]+I324</f>
        <v>170517.61418153672</v>
      </c>
      <c r="J325" s="11"/>
      <c r="K325" s="7">
        <f t="shared" si="34"/>
        <v>-13186.91171132664</v>
      </c>
      <c r="L325" s="7">
        <f>+References!$B$1-Table1[[#This Row],[INTEREST ]]</f>
        <v>1218.1754454003403</v>
      </c>
      <c r="M325" s="5">
        <f>+Inputs!$B$11</f>
        <v>100</v>
      </c>
      <c r="N325" s="7">
        <f>+Table1[[#This Row],[BEGINNING BALANCE ]]*Inputs!$B$4/12</f>
        <v>-42.582735734492275</v>
      </c>
      <c r="O325" s="7">
        <f>+SUM(Table1[[#This Row],[PRINCIPAL ]:[INTEREST ]])</f>
        <v>1275.5927096658481</v>
      </c>
      <c r="P325" s="7">
        <f>+Table1[[#This Row],[BEGINNING BALANCE ]]-Table1[[#This Row],[PRINCIPAL ]]-Table1[[#This Row],[EXTRA PAYMENT]]</f>
        <v>-14505.087156726981</v>
      </c>
      <c r="Q325" s="5">
        <f>+Table1[[#This Row],[PRINCIPAL ]]+Table1[[#This Row],[EXTRA PAYMENT]]+Q324</f>
        <v>264505.08715672686</v>
      </c>
      <c r="R325" s="7">
        <f>+Table1[[#This Row],[INTEREST ]]+R324</f>
        <v>146235.76535567595</v>
      </c>
    </row>
    <row r="326" spans="1:18" x14ac:dyDescent="0.25">
      <c r="A326">
        <f t="shared" si="35"/>
        <v>323</v>
      </c>
      <c r="B326" s="1">
        <f t="shared" si="36"/>
        <v>50437</v>
      </c>
      <c r="C326" s="6">
        <f t="shared" si="37"/>
        <v>41976.761669133564</v>
      </c>
      <c r="D326" s="7">
        <f>PPMT(Inputs!$B$4/12,A326,Inputs!$B$5*12,-'Amortization Table'!$C$4)</f>
        <v>1040.0427501092713</v>
      </c>
      <c r="E326" s="7">
        <f>IPMT(Inputs!$B$4/12,'Amortization Table'!A326,Inputs!$B$5*12,-'Amortization Table'!$C$4)</f>
        <v>135.54995955657697</v>
      </c>
      <c r="F326" s="7">
        <f t="shared" si="38"/>
        <v>1175.5927096658484</v>
      </c>
      <c r="G326" s="6">
        <f t="shared" si="39"/>
        <v>40936.718919024293</v>
      </c>
      <c r="H326" s="5">
        <f>+H325+Table1[[#This Row],[PRINCIPAL]]</f>
        <v>209063.28108097563</v>
      </c>
      <c r="I326" s="7">
        <f>Table1[[#This Row],[INTEREST]]+I325</f>
        <v>170653.16414109329</v>
      </c>
      <c r="J326" s="11"/>
      <c r="K326" s="7">
        <f t="shared" ref="K326:K363" si="40">+P325</f>
        <v>-14505.087156726981</v>
      </c>
      <c r="L326" s="7">
        <f>+References!$B$1-Table1[[#This Row],[INTEREST ]]</f>
        <v>1222.4320536094456</v>
      </c>
      <c r="M326" s="5">
        <f>+Inputs!$B$11</f>
        <v>100</v>
      </c>
      <c r="N326" s="7">
        <f>+Table1[[#This Row],[BEGINNING BALANCE ]]*Inputs!$B$4/12</f>
        <v>-46.839343943597548</v>
      </c>
      <c r="O326" s="7">
        <f>+SUM(Table1[[#This Row],[PRINCIPAL ]:[INTEREST ]])</f>
        <v>1275.5927096658481</v>
      </c>
      <c r="P326" s="7">
        <f>+Table1[[#This Row],[BEGINNING BALANCE ]]-Table1[[#This Row],[PRINCIPAL ]]-Table1[[#This Row],[EXTRA PAYMENT]]</f>
        <v>-15827.519210336426</v>
      </c>
      <c r="Q326" s="5">
        <f>+Table1[[#This Row],[PRINCIPAL ]]+Table1[[#This Row],[EXTRA PAYMENT]]+Q325</f>
        <v>265827.51921033632</v>
      </c>
      <c r="R326" s="7">
        <f>+Table1[[#This Row],[INTEREST ]]+R325</f>
        <v>146188.92601173234</v>
      </c>
    </row>
    <row r="327" spans="1:18" x14ac:dyDescent="0.25">
      <c r="A327">
        <f t="shared" si="35"/>
        <v>324</v>
      </c>
      <c r="B327" s="1">
        <f t="shared" si="36"/>
        <v>50465</v>
      </c>
      <c r="C327" s="6">
        <f t="shared" si="37"/>
        <v>40936.718919024293</v>
      </c>
      <c r="D327" s="7">
        <f>PPMT(Inputs!$B$4/12,A327,Inputs!$B$5*12,-'Amortization Table'!$C$4)</f>
        <v>1043.4012214898323</v>
      </c>
      <c r="E327" s="7">
        <f>IPMT(Inputs!$B$4/12,'Amortization Table'!A327,Inputs!$B$5*12,-'Amortization Table'!$C$4)</f>
        <v>132.19148817601581</v>
      </c>
      <c r="F327" s="7">
        <f t="shared" si="38"/>
        <v>1175.5927096658481</v>
      </c>
      <c r="G327" s="6">
        <f t="shared" si="39"/>
        <v>39893.317697534461</v>
      </c>
      <c r="H327" s="5">
        <f>+H326+Table1[[#This Row],[PRINCIPAL]]</f>
        <v>210106.68230246546</v>
      </c>
      <c r="I327" s="7">
        <f>Table1[[#This Row],[INTEREST]]+I326</f>
        <v>170785.3556292693</v>
      </c>
      <c r="J327" s="11"/>
      <c r="K327" s="7">
        <f t="shared" si="40"/>
        <v>-15827.519210336426</v>
      </c>
      <c r="L327" s="7">
        <f>+References!$B$1-Table1[[#This Row],[INTEREST ]]</f>
        <v>1226.7024071158928</v>
      </c>
      <c r="M327" s="5">
        <f>+Inputs!$B$11</f>
        <v>100</v>
      </c>
      <c r="N327" s="7">
        <f>+Table1[[#This Row],[BEGINNING BALANCE ]]*Inputs!$B$4/12</f>
        <v>-51.109697450044706</v>
      </c>
      <c r="O327" s="7">
        <f>+SUM(Table1[[#This Row],[PRINCIPAL ]:[INTEREST ]])</f>
        <v>1275.5927096658481</v>
      </c>
      <c r="P327" s="7">
        <f>+Table1[[#This Row],[BEGINNING BALANCE ]]-Table1[[#This Row],[PRINCIPAL ]]-Table1[[#This Row],[EXTRA PAYMENT]]</f>
        <v>-17154.22161745232</v>
      </c>
      <c r="Q327" s="5">
        <f>+Table1[[#This Row],[PRINCIPAL ]]+Table1[[#This Row],[EXTRA PAYMENT]]+Q326</f>
        <v>267154.22161745222</v>
      </c>
      <c r="R327" s="7">
        <f>+Table1[[#This Row],[INTEREST ]]+R326</f>
        <v>146137.8163142823</v>
      </c>
    </row>
    <row r="328" spans="1:18" x14ac:dyDescent="0.25">
      <c r="A328">
        <f t="shared" si="35"/>
        <v>325</v>
      </c>
      <c r="B328" s="1">
        <f t="shared" si="36"/>
        <v>50496</v>
      </c>
      <c r="C328" s="6">
        <f t="shared" si="37"/>
        <v>39893.317697534461</v>
      </c>
      <c r="D328" s="7">
        <f>PPMT(Inputs!$B$4/12,A328,Inputs!$B$5*12,-'Amortization Table'!$C$4)</f>
        <v>1046.7705379342267</v>
      </c>
      <c r="E328" s="7">
        <f>IPMT(Inputs!$B$4/12,'Amortization Table'!A328,Inputs!$B$5*12,-'Amortization Table'!$C$4)</f>
        <v>128.82217173162152</v>
      </c>
      <c r="F328" s="7">
        <f t="shared" si="38"/>
        <v>1175.5927096658481</v>
      </c>
      <c r="G328" s="6">
        <f t="shared" si="39"/>
        <v>38846.547159600232</v>
      </c>
      <c r="H328" s="5">
        <f>+H327+Table1[[#This Row],[PRINCIPAL]]</f>
        <v>211153.4528403997</v>
      </c>
      <c r="I328" s="7">
        <f>Table1[[#This Row],[INTEREST]]+I327</f>
        <v>170914.17780100091</v>
      </c>
      <c r="J328" s="11"/>
      <c r="K328" s="7">
        <f t="shared" si="40"/>
        <v>-17154.22161745232</v>
      </c>
      <c r="L328" s="7">
        <f>+References!$B$1-Table1[[#This Row],[INTEREST ]]</f>
        <v>1230.986550305538</v>
      </c>
      <c r="M328" s="5">
        <f>+Inputs!$B$11</f>
        <v>100</v>
      </c>
      <c r="N328" s="7">
        <f>+Table1[[#This Row],[BEGINNING BALANCE ]]*Inputs!$B$4/12</f>
        <v>-55.393840639689785</v>
      </c>
      <c r="O328" s="7">
        <f>+SUM(Table1[[#This Row],[PRINCIPAL ]:[INTEREST ]])</f>
        <v>1275.5927096658481</v>
      </c>
      <c r="P328" s="7">
        <f>+Table1[[#This Row],[BEGINNING BALANCE ]]-Table1[[#This Row],[PRINCIPAL ]]-Table1[[#This Row],[EXTRA PAYMENT]]</f>
        <v>-18485.208167757857</v>
      </c>
      <c r="Q328" s="5">
        <f>+Table1[[#This Row],[PRINCIPAL ]]+Table1[[#This Row],[EXTRA PAYMENT]]+Q327</f>
        <v>268485.20816775778</v>
      </c>
      <c r="R328" s="7">
        <f>+Table1[[#This Row],[INTEREST ]]+R327</f>
        <v>146082.42247364263</v>
      </c>
    </row>
    <row r="329" spans="1:18" x14ac:dyDescent="0.25">
      <c r="A329">
        <f t="shared" si="35"/>
        <v>326</v>
      </c>
      <c r="B329" s="1">
        <f t="shared" si="36"/>
        <v>50526</v>
      </c>
      <c r="C329" s="6">
        <f t="shared" si="37"/>
        <v>38846.547159600232</v>
      </c>
      <c r="D329" s="7">
        <f>PPMT(Inputs!$B$4/12,A329,Inputs!$B$5*12,-'Amortization Table'!$C$4)</f>
        <v>1050.1507344629727</v>
      </c>
      <c r="E329" s="7">
        <f>IPMT(Inputs!$B$4/12,'Amortization Table'!A329,Inputs!$B$5*12,-'Amortization Table'!$C$4)</f>
        <v>125.44197520287562</v>
      </c>
      <c r="F329" s="7">
        <f t="shared" si="38"/>
        <v>1175.5927096658484</v>
      </c>
      <c r="G329" s="6">
        <f t="shared" si="39"/>
        <v>37796.39642513726</v>
      </c>
      <c r="H329" s="5">
        <f>+H328+Table1[[#This Row],[PRINCIPAL]]</f>
        <v>212203.60357486267</v>
      </c>
      <c r="I329" s="7">
        <f>Table1[[#This Row],[INTEREST]]+I328</f>
        <v>171039.61977620379</v>
      </c>
      <c r="J329" s="11"/>
      <c r="K329" s="7">
        <f t="shared" si="40"/>
        <v>-18485.208167757857</v>
      </c>
      <c r="L329" s="7">
        <f>+References!$B$1-Table1[[#This Row],[INTEREST ]]</f>
        <v>1235.2845277075662</v>
      </c>
      <c r="M329" s="5">
        <f>+Inputs!$B$11</f>
        <v>100</v>
      </c>
      <c r="N329" s="7">
        <f>+Table1[[#This Row],[BEGINNING BALANCE ]]*Inputs!$B$4/12</f>
        <v>-59.691818041718079</v>
      </c>
      <c r="O329" s="7">
        <f>+SUM(Table1[[#This Row],[PRINCIPAL ]:[INTEREST ]])</f>
        <v>1275.5927096658481</v>
      </c>
      <c r="P329" s="7">
        <f>+Table1[[#This Row],[BEGINNING BALANCE ]]-Table1[[#This Row],[PRINCIPAL ]]-Table1[[#This Row],[EXTRA PAYMENT]]</f>
        <v>-19820.492695465422</v>
      </c>
      <c r="Q329" s="5">
        <f>+Table1[[#This Row],[PRINCIPAL ]]+Table1[[#This Row],[EXTRA PAYMENT]]+Q328</f>
        <v>269820.49269546533</v>
      </c>
      <c r="R329" s="7">
        <f>+Table1[[#This Row],[INTEREST ]]+R328</f>
        <v>146022.7306556009</v>
      </c>
    </row>
    <row r="330" spans="1:18" x14ac:dyDescent="0.25">
      <c r="A330">
        <f t="shared" si="35"/>
        <v>327</v>
      </c>
      <c r="B330" s="1">
        <f t="shared" si="36"/>
        <v>50557</v>
      </c>
      <c r="C330" s="6">
        <f t="shared" si="37"/>
        <v>37796.39642513726</v>
      </c>
      <c r="D330" s="7">
        <f>PPMT(Inputs!$B$4/12,A330,Inputs!$B$5*12,-'Amortization Table'!$C$4)</f>
        <v>1053.5418462096759</v>
      </c>
      <c r="E330" s="7">
        <f>IPMT(Inputs!$B$4/12,'Amortization Table'!A330,Inputs!$B$5*12,-'Amortization Table'!$C$4)</f>
        <v>122.05086345617227</v>
      </c>
      <c r="F330" s="7">
        <f t="shared" si="38"/>
        <v>1175.5927096658481</v>
      </c>
      <c r="G330" s="6">
        <f t="shared" si="39"/>
        <v>36742.854578927581</v>
      </c>
      <c r="H330" s="5">
        <f>+H329+Table1[[#This Row],[PRINCIPAL]]</f>
        <v>213257.14542107235</v>
      </c>
      <c r="I330" s="7">
        <f>Table1[[#This Row],[INTEREST]]+I329</f>
        <v>171161.67063965998</v>
      </c>
      <c r="J330" s="11"/>
      <c r="K330" s="7">
        <f t="shared" si="40"/>
        <v>-19820.492695465422</v>
      </c>
      <c r="L330" s="7">
        <f>+References!$B$1-Table1[[#This Row],[INTEREST ]]</f>
        <v>1239.5963839949552</v>
      </c>
      <c r="M330" s="5">
        <f>+Inputs!$B$11</f>
        <v>100</v>
      </c>
      <c r="N330" s="7">
        <f>+Table1[[#This Row],[BEGINNING BALANCE ]]*Inputs!$B$4/12</f>
        <v>-64.003674329107085</v>
      </c>
      <c r="O330" s="7">
        <f>+SUM(Table1[[#This Row],[PRINCIPAL ]:[INTEREST ]])</f>
        <v>1275.5927096658481</v>
      </c>
      <c r="P330" s="7">
        <f>+Table1[[#This Row],[BEGINNING BALANCE ]]-Table1[[#This Row],[PRINCIPAL ]]-Table1[[#This Row],[EXTRA PAYMENT]]</f>
        <v>-21160.089079460377</v>
      </c>
      <c r="Q330" s="5">
        <f>+Table1[[#This Row],[PRINCIPAL ]]+Table1[[#This Row],[EXTRA PAYMENT]]+Q329</f>
        <v>271160.0890794603</v>
      </c>
      <c r="R330" s="7">
        <f>+Table1[[#This Row],[INTEREST ]]+R329</f>
        <v>145958.72698127179</v>
      </c>
    </row>
    <row r="331" spans="1:18" x14ac:dyDescent="0.25">
      <c r="A331">
        <f t="shared" si="35"/>
        <v>328</v>
      </c>
      <c r="B331" s="1">
        <f t="shared" si="36"/>
        <v>50587</v>
      </c>
      <c r="C331" s="6">
        <f t="shared" si="37"/>
        <v>36742.854578927581</v>
      </c>
      <c r="D331" s="7">
        <f>PPMT(Inputs!$B$4/12,A331,Inputs!$B$5*12,-'Amortization Table'!$C$4)</f>
        <v>1056.9439084213948</v>
      </c>
      <c r="E331" s="7">
        <f>IPMT(Inputs!$B$4/12,'Amortization Table'!A331,Inputs!$B$5*12,-'Amortization Table'!$C$4)</f>
        <v>118.64880124445351</v>
      </c>
      <c r="F331" s="7">
        <f t="shared" si="38"/>
        <v>1175.5927096658484</v>
      </c>
      <c r="G331" s="6">
        <f t="shared" si="39"/>
        <v>35685.910670506186</v>
      </c>
      <c r="H331" s="5">
        <f>+H330+Table1[[#This Row],[PRINCIPAL]]</f>
        <v>214314.08932949373</v>
      </c>
      <c r="I331" s="7">
        <f>Table1[[#This Row],[INTEREST]]+I330</f>
        <v>171280.31944090442</v>
      </c>
      <c r="J331" s="11"/>
      <c r="K331" s="7">
        <f t="shared" si="40"/>
        <v>-21160.089079460377</v>
      </c>
      <c r="L331" s="7">
        <f>+References!$B$1-Table1[[#This Row],[INTEREST ]]</f>
        <v>1243.9221639849388</v>
      </c>
      <c r="M331" s="5">
        <f>+Inputs!$B$11</f>
        <v>100</v>
      </c>
      <c r="N331" s="7">
        <f>+Table1[[#This Row],[BEGINNING BALANCE ]]*Inputs!$B$4/12</f>
        <v>-68.3294543190908</v>
      </c>
      <c r="O331" s="7">
        <f>+SUM(Table1[[#This Row],[PRINCIPAL ]:[INTEREST ]])</f>
        <v>1275.5927096658481</v>
      </c>
      <c r="P331" s="7">
        <f>+Table1[[#This Row],[BEGINNING BALANCE ]]-Table1[[#This Row],[PRINCIPAL ]]-Table1[[#This Row],[EXTRA PAYMENT]]</f>
        <v>-22504.011243445315</v>
      </c>
      <c r="Q331" s="5">
        <f>+Table1[[#This Row],[PRINCIPAL ]]+Table1[[#This Row],[EXTRA PAYMENT]]+Q330</f>
        <v>272504.01124344522</v>
      </c>
      <c r="R331" s="7">
        <f>+Table1[[#This Row],[INTEREST ]]+R330</f>
        <v>145890.3975269527</v>
      </c>
    </row>
    <row r="332" spans="1:18" x14ac:dyDescent="0.25">
      <c r="A332">
        <f t="shared" si="35"/>
        <v>329</v>
      </c>
      <c r="B332" s="1">
        <f t="shared" si="36"/>
        <v>50618</v>
      </c>
      <c r="C332" s="6">
        <f t="shared" si="37"/>
        <v>35685.910670506186</v>
      </c>
      <c r="D332" s="7">
        <f>PPMT(Inputs!$B$4/12,A332,Inputs!$B$5*12,-'Amortization Table'!$C$4)</f>
        <v>1060.3569564590055</v>
      </c>
      <c r="E332" s="7">
        <f>IPMT(Inputs!$B$4/12,'Amortization Table'!A332,Inputs!$B$5*12,-'Amortization Table'!$C$4)</f>
        <v>115.23575320684277</v>
      </c>
      <c r="F332" s="7">
        <f t="shared" si="38"/>
        <v>1175.5927096658481</v>
      </c>
      <c r="G332" s="6">
        <f t="shared" si="39"/>
        <v>34625.553714047179</v>
      </c>
      <c r="H332" s="5">
        <f>+H331+Table1[[#This Row],[PRINCIPAL]]</f>
        <v>215374.44628595273</v>
      </c>
      <c r="I332" s="7">
        <f>Table1[[#This Row],[INTEREST]]+I331</f>
        <v>171395.55519411128</v>
      </c>
      <c r="J332" s="11"/>
      <c r="K332" s="7">
        <f t="shared" si="40"/>
        <v>-22504.011243445315</v>
      </c>
      <c r="L332" s="7">
        <f>+References!$B$1-Table1[[#This Row],[INTEREST ]]</f>
        <v>1248.2619126394736</v>
      </c>
      <c r="M332" s="5">
        <f>+Inputs!$B$11</f>
        <v>100</v>
      </c>
      <c r="N332" s="7">
        <f>+Table1[[#This Row],[BEGINNING BALANCE ]]*Inputs!$B$4/12</f>
        <v>-72.669202973625502</v>
      </c>
      <c r="O332" s="7">
        <f>+SUM(Table1[[#This Row],[PRINCIPAL ]:[INTEREST ]])</f>
        <v>1275.5927096658481</v>
      </c>
      <c r="P332" s="7">
        <f>+Table1[[#This Row],[BEGINNING BALANCE ]]-Table1[[#This Row],[PRINCIPAL ]]-Table1[[#This Row],[EXTRA PAYMENT]]</f>
        <v>-23852.27315608479</v>
      </c>
      <c r="Q332" s="5">
        <f>+Table1[[#This Row],[PRINCIPAL ]]+Table1[[#This Row],[EXTRA PAYMENT]]+Q331</f>
        <v>273852.2731560847</v>
      </c>
      <c r="R332" s="7">
        <f>+Table1[[#This Row],[INTEREST ]]+R331</f>
        <v>145817.72832397907</v>
      </c>
    </row>
    <row r="333" spans="1:18" x14ac:dyDescent="0.25">
      <c r="A333">
        <f t="shared" si="35"/>
        <v>330</v>
      </c>
      <c r="B333" s="1">
        <f t="shared" si="36"/>
        <v>50649</v>
      </c>
      <c r="C333" s="6">
        <f t="shared" si="37"/>
        <v>34625.553714047179</v>
      </c>
      <c r="D333" s="7">
        <f>PPMT(Inputs!$B$4/12,A333,Inputs!$B$5*12,-'Amortization Table'!$C$4)</f>
        <v>1063.7810257975709</v>
      </c>
      <c r="E333" s="7">
        <f>IPMT(Inputs!$B$4/12,'Amortization Table'!A333,Inputs!$B$5*12,-'Amortization Table'!$C$4)</f>
        <v>111.81168386827723</v>
      </c>
      <c r="F333" s="7">
        <f t="shared" si="38"/>
        <v>1175.5927096658481</v>
      </c>
      <c r="G333" s="6">
        <f t="shared" si="39"/>
        <v>33561.772688249606</v>
      </c>
      <c r="H333" s="5">
        <f>+H332+Table1[[#This Row],[PRINCIPAL]]</f>
        <v>216438.22731175029</v>
      </c>
      <c r="I333" s="7">
        <f>Table1[[#This Row],[INTEREST]]+I332</f>
        <v>171507.36687797957</v>
      </c>
      <c r="J333" s="11"/>
      <c r="K333" s="7">
        <f t="shared" si="40"/>
        <v>-23852.27315608479</v>
      </c>
      <c r="L333" s="7">
        <f>+References!$B$1-Table1[[#This Row],[INTEREST ]]</f>
        <v>1252.6156750657053</v>
      </c>
      <c r="M333" s="5">
        <f>+Inputs!$B$11</f>
        <v>100</v>
      </c>
      <c r="N333" s="7">
        <f>+Table1[[#This Row],[BEGINNING BALANCE ]]*Inputs!$B$4/12</f>
        <v>-77.022965399857142</v>
      </c>
      <c r="O333" s="7">
        <f>+SUM(Table1[[#This Row],[PRINCIPAL ]:[INTEREST ]])</f>
        <v>1275.5927096658481</v>
      </c>
      <c r="P333" s="7">
        <f>+Table1[[#This Row],[BEGINNING BALANCE ]]-Table1[[#This Row],[PRINCIPAL ]]-Table1[[#This Row],[EXTRA PAYMENT]]</f>
        <v>-25204.888831150496</v>
      </c>
      <c r="Q333" s="5">
        <f>+Table1[[#This Row],[PRINCIPAL ]]+Table1[[#This Row],[EXTRA PAYMENT]]+Q332</f>
        <v>275204.88883115043</v>
      </c>
      <c r="R333" s="7">
        <f>+Table1[[#This Row],[INTEREST ]]+R332</f>
        <v>145740.7053585792</v>
      </c>
    </row>
    <row r="334" spans="1:18" x14ac:dyDescent="0.25">
      <c r="A334">
        <f t="shared" si="35"/>
        <v>331</v>
      </c>
      <c r="B334" s="1">
        <f t="shared" si="36"/>
        <v>50679</v>
      </c>
      <c r="C334" s="6">
        <f t="shared" si="37"/>
        <v>33561.772688249606</v>
      </c>
      <c r="D334" s="7">
        <f>PPMT(Inputs!$B$4/12,A334,Inputs!$B$5*12,-'Amortization Table'!$C$4)</f>
        <v>1067.2161520267089</v>
      </c>
      <c r="E334" s="7">
        <f>IPMT(Inputs!$B$4/12,'Amortization Table'!A334,Inputs!$B$5*12,-'Amortization Table'!$C$4)</f>
        <v>108.37655763913924</v>
      </c>
      <c r="F334" s="7">
        <f t="shared" si="38"/>
        <v>1175.5927096658481</v>
      </c>
      <c r="G334" s="6">
        <f t="shared" si="39"/>
        <v>32494.556536222899</v>
      </c>
      <c r="H334" s="5">
        <f>+H333+Table1[[#This Row],[PRINCIPAL]]</f>
        <v>217505.44346377699</v>
      </c>
      <c r="I334" s="7">
        <f>Table1[[#This Row],[INTEREST]]+I333</f>
        <v>171615.7434356187</v>
      </c>
      <c r="J334" s="11"/>
      <c r="K334" s="7">
        <f t="shared" si="40"/>
        <v>-25204.888831150496</v>
      </c>
      <c r="L334" s="7">
        <f>+References!$B$1-Table1[[#This Row],[INTEREST ]]</f>
        <v>1256.9834965164382</v>
      </c>
      <c r="M334" s="5">
        <f>+Inputs!$B$11</f>
        <v>100</v>
      </c>
      <c r="N334" s="7">
        <f>+Table1[[#This Row],[BEGINNING BALANCE ]]*Inputs!$B$4/12</f>
        <v>-81.390786850590146</v>
      </c>
      <c r="O334" s="7">
        <f>+SUM(Table1[[#This Row],[PRINCIPAL ]:[INTEREST ]])</f>
        <v>1275.5927096658481</v>
      </c>
      <c r="P334" s="7">
        <f>+Table1[[#This Row],[BEGINNING BALANCE ]]-Table1[[#This Row],[PRINCIPAL ]]-Table1[[#This Row],[EXTRA PAYMENT]]</f>
        <v>-26561.872327666933</v>
      </c>
      <c r="Q334" s="5">
        <f>+Table1[[#This Row],[PRINCIPAL ]]+Table1[[#This Row],[EXTRA PAYMENT]]+Q333</f>
        <v>276561.87232766685</v>
      </c>
      <c r="R334" s="7">
        <f>+Table1[[#This Row],[INTEREST ]]+R333</f>
        <v>145659.31457172861</v>
      </c>
    </row>
    <row r="335" spans="1:18" x14ac:dyDescent="0.25">
      <c r="A335">
        <f t="shared" si="35"/>
        <v>332</v>
      </c>
      <c r="B335" s="1">
        <f t="shared" si="36"/>
        <v>50710</v>
      </c>
      <c r="C335" s="6">
        <f t="shared" si="37"/>
        <v>32494.556536222899</v>
      </c>
      <c r="D335" s="7">
        <f>PPMT(Inputs!$B$4/12,A335,Inputs!$B$5*12,-'Amortization Table'!$C$4)</f>
        <v>1070.6623708509619</v>
      </c>
      <c r="E335" s="7">
        <f>IPMT(Inputs!$B$4/12,'Amortization Table'!A335,Inputs!$B$5*12,-'Amortization Table'!$C$4)</f>
        <v>104.93033881488633</v>
      </c>
      <c r="F335" s="7">
        <f t="shared" si="38"/>
        <v>1175.5927096658481</v>
      </c>
      <c r="G335" s="6">
        <f t="shared" si="39"/>
        <v>31423.894165371938</v>
      </c>
      <c r="H335" s="5">
        <f>+H334+Table1[[#This Row],[PRINCIPAL]]</f>
        <v>218576.10583462796</v>
      </c>
      <c r="I335" s="7">
        <f>Table1[[#This Row],[INTEREST]]+I334</f>
        <v>171720.67377443358</v>
      </c>
      <c r="J335" s="11"/>
      <c r="K335" s="7">
        <f t="shared" si="40"/>
        <v>-26561.872327666933</v>
      </c>
      <c r="L335" s="7">
        <f>+References!$B$1-Table1[[#This Row],[INTEREST ]]</f>
        <v>1261.365422390606</v>
      </c>
      <c r="M335" s="5">
        <f>+Inputs!$B$11</f>
        <v>100</v>
      </c>
      <c r="N335" s="7">
        <f>+Table1[[#This Row],[BEGINNING BALANCE ]]*Inputs!$B$4/12</f>
        <v>-85.77271272475781</v>
      </c>
      <c r="O335" s="7">
        <f>+SUM(Table1[[#This Row],[PRINCIPAL ]:[INTEREST ]])</f>
        <v>1275.5927096658481</v>
      </c>
      <c r="P335" s="7">
        <f>+Table1[[#This Row],[BEGINNING BALANCE ]]-Table1[[#This Row],[PRINCIPAL ]]-Table1[[#This Row],[EXTRA PAYMENT]]</f>
        <v>-27923.237750057539</v>
      </c>
      <c r="Q335" s="5">
        <f>+Table1[[#This Row],[PRINCIPAL ]]+Table1[[#This Row],[EXTRA PAYMENT]]+Q334</f>
        <v>277923.23775005748</v>
      </c>
      <c r="R335" s="7">
        <f>+Table1[[#This Row],[INTEREST ]]+R334</f>
        <v>145573.54185900386</v>
      </c>
    </row>
    <row r="336" spans="1:18" x14ac:dyDescent="0.25">
      <c r="A336">
        <f t="shared" si="35"/>
        <v>333</v>
      </c>
      <c r="B336" s="1">
        <f t="shared" si="36"/>
        <v>50740</v>
      </c>
      <c r="C336" s="6">
        <f t="shared" si="37"/>
        <v>31423.894165371938</v>
      </c>
      <c r="D336" s="7">
        <f>PPMT(Inputs!$B$4/12,A336,Inputs!$B$5*12,-'Amortization Table'!$C$4)</f>
        <v>1074.1197180901681</v>
      </c>
      <c r="E336" s="7">
        <f>IPMT(Inputs!$B$4/12,'Amortization Table'!A336,Inputs!$B$5*12,-'Amortization Table'!$C$4)</f>
        <v>101.47299157568007</v>
      </c>
      <c r="F336" s="7">
        <f t="shared" si="38"/>
        <v>1175.5927096658481</v>
      </c>
      <c r="G336" s="6">
        <f t="shared" si="39"/>
        <v>30349.774447281769</v>
      </c>
      <c r="H336" s="5">
        <f>+H335+Table1[[#This Row],[PRINCIPAL]]</f>
        <v>219650.22555271813</v>
      </c>
      <c r="I336" s="7">
        <f>Table1[[#This Row],[INTEREST]]+I335</f>
        <v>171822.14676600927</v>
      </c>
      <c r="J336" s="11"/>
      <c r="K336" s="7">
        <f t="shared" si="40"/>
        <v>-27923.237750057539</v>
      </c>
      <c r="L336" s="7">
        <f>+References!$B$1-Table1[[#This Row],[INTEREST ]]</f>
        <v>1265.7614982337423</v>
      </c>
      <c r="M336" s="5">
        <f>+Inputs!$B$11</f>
        <v>100</v>
      </c>
      <c r="N336" s="7">
        <f>+Table1[[#This Row],[BEGINNING BALANCE ]]*Inputs!$B$4/12</f>
        <v>-90.168788567894126</v>
      </c>
      <c r="O336" s="7">
        <f>+SUM(Table1[[#This Row],[PRINCIPAL ]:[INTEREST ]])</f>
        <v>1275.5927096658481</v>
      </c>
      <c r="P336" s="7">
        <f>+Table1[[#This Row],[BEGINNING BALANCE ]]-Table1[[#This Row],[PRINCIPAL ]]-Table1[[#This Row],[EXTRA PAYMENT]]</f>
        <v>-29288.999248291282</v>
      </c>
      <c r="Q336" s="5">
        <f>+Table1[[#This Row],[PRINCIPAL ]]+Table1[[#This Row],[EXTRA PAYMENT]]+Q335</f>
        <v>279288.99924829125</v>
      </c>
      <c r="R336" s="7">
        <f>+Table1[[#This Row],[INTEREST ]]+R335</f>
        <v>145483.37307043598</v>
      </c>
    </row>
    <row r="337" spans="1:18" x14ac:dyDescent="0.25">
      <c r="A337">
        <f t="shared" si="35"/>
        <v>334</v>
      </c>
      <c r="B337" s="1">
        <f t="shared" si="36"/>
        <v>50771</v>
      </c>
      <c r="C337" s="6">
        <f t="shared" si="37"/>
        <v>30349.774447281769</v>
      </c>
      <c r="D337" s="7">
        <f>PPMT(Inputs!$B$4/12,A337,Inputs!$B$5*12,-'Amortization Table'!$C$4)</f>
        <v>1077.5882296798343</v>
      </c>
      <c r="E337" s="7">
        <f>IPMT(Inputs!$B$4/12,'Amortization Table'!A337,Inputs!$B$5*12,-'Amortization Table'!$C$4)</f>
        <v>98.004479986013919</v>
      </c>
      <c r="F337" s="7">
        <f t="shared" si="38"/>
        <v>1175.5927096658481</v>
      </c>
      <c r="G337" s="6">
        <f t="shared" si="39"/>
        <v>29272.186217601935</v>
      </c>
      <c r="H337" s="5">
        <f>+H336+Table1[[#This Row],[PRINCIPAL]]</f>
        <v>220727.81378239795</v>
      </c>
      <c r="I337" s="7">
        <f>Table1[[#This Row],[INTEREST]]+I336</f>
        <v>171920.15124599528</v>
      </c>
      <c r="J337" s="11"/>
      <c r="K337" s="7">
        <f t="shared" si="40"/>
        <v>-29288.999248291282</v>
      </c>
      <c r="L337" s="7">
        <f>+References!$B$1-Table1[[#This Row],[INTEREST ]]</f>
        <v>1270.1717697384554</v>
      </c>
      <c r="M337" s="5">
        <f>+Inputs!$B$11</f>
        <v>100</v>
      </c>
      <c r="N337" s="7">
        <f>+Table1[[#This Row],[BEGINNING BALANCE ]]*Inputs!$B$4/12</f>
        <v>-94.579060072607263</v>
      </c>
      <c r="O337" s="7">
        <f>+SUM(Table1[[#This Row],[PRINCIPAL ]:[INTEREST ]])</f>
        <v>1275.5927096658481</v>
      </c>
      <c r="P337" s="7">
        <f>+Table1[[#This Row],[BEGINNING BALANCE ]]-Table1[[#This Row],[PRINCIPAL ]]-Table1[[#This Row],[EXTRA PAYMENT]]</f>
        <v>-30659.171018029738</v>
      </c>
      <c r="Q337" s="5">
        <f>+Table1[[#This Row],[PRINCIPAL ]]+Table1[[#This Row],[EXTRA PAYMENT]]+Q336</f>
        <v>280659.17101802968</v>
      </c>
      <c r="R337" s="7">
        <f>+Table1[[#This Row],[INTEREST ]]+R336</f>
        <v>145388.79401036337</v>
      </c>
    </row>
    <row r="338" spans="1:18" x14ac:dyDescent="0.25">
      <c r="A338">
        <f t="shared" si="35"/>
        <v>335</v>
      </c>
      <c r="B338" s="1">
        <f t="shared" si="36"/>
        <v>50802</v>
      </c>
      <c r="C338" s="6">
        <f t="shared" si="37"/>
        <v>29272.186217601935</v>
      </c>
      <c r="D338" s="7">
        <f>PPMT(Inputs!$B$4/12,A338,Inputs!$B$5*12,-'Amortization Table'!$C$4)</f>
        <v>1081.0679416715086</v>
      </c>
      <c r="E338" s="7">
        <f>IPMT(Inputs!$B$4/12,'Amortization Table'!A338,Inputs!$B$5*12,-'Amortization Table'!$C$4)</f>
        <v>94.524767994339456</v>
      </c>
      <c r="F338" s="7">
        <f t="shared" si="38"/>
        <v>1175.5927096658481</v>
      </c>
      <c r="G338" s="6">
        <f t="shared" si="39"/>
        <v>28191.118275930425</v>
      </c>
      <c r="H338" s="5">
        <f>+H337+Table1[[#This Row],[PRINCIPAL]]</f>
        <v>221808.88172406945</v>
      </c>
      <c r="I338" s="7">
        <f>Table1[[#This Row],[INTEREST]]+I337</f>
        <v>172014.67601398961</v>
      </c>
      <c r="J338" s="11"/>
      <c r="K338" s="7">
        <f t="shared" si="40"/>
        <v>-30659.171018029738</v>
      </c>
      <c r="L338" s="7">
        <f>+References!$B$1-Table1[[#This Row],[INTEREST ]]</f>
        <v>1274.5962827449025</v>
      </c>
      <c r="M338" s="5">
        <f>+Inputs!$B$11</f>
        <v>100</v>
      </c>
      <c r="N338" s="7">
        <f>+Table1[[#This Row],[BEGINNING BALANCE ]]*Inputs!$B$4/12</f>
        <v>-99.003573079054362</v>
      </c>
      <c r="O338" s="7">
        <f>+SUM(Table1[[#This Row],[PRINCIPAL ]:[INTEREST ]])</f>
        <v>1275.5927096658481</v>
      </c>
      <c r="P338" s="7">
        <f>+Table1[[#This Row],[BEGINNING BALANCE ]]-Table1[[#This Row],[PRINCIPAL ]]-Table1[[#This Row],[EXTRA PAYMENT]]</f>
        <v>-32033.767300774642</v>
      </c>
      <c r="Q338" s="5">
        <f>+Table1[[#This Row],[PRINCIPAL ]]+Table1[[#This Row],[EXTRA PAYMENT]]+Q337</f>
        <v>282033.76730077458</v>
      </c>
      <c r="R338" s="7">
        <f>+Table1[[#This Row],[INTEREST ]]+R337</f>
        <v>145289.79043728433</v>
      </c>
    </row>
    <row r="339" spans="1:18" x14ac:dyDescent="0.25">
      <c r="A339">
        <f t="shared" si="35"/>
        <v>336</v>
      </c>
      <c r="B339" s="1">
        <f t="shared" si="36"/>
        <v>50830</v>
      </c>
      <c r="C339" s="6">
        <f t="shared" si="37"/>
        <v>28191.118275930425</v>
      </c>
      <c r="D339" s="7">
        <f>PPMT(Inputs!$B$4/12,A339,Inputs!$B$5*12,-'Amortization Table'!$C$4)</f>
        <v>1084.5588902331563</v>
      </c>
      <c r="E339" s="7">
        <f>IPMT(Inputs!$B$4/12,'Amortization Table'!A339,Inputs!$B$5*12,-'Amortization Table'!$C$4)</f>
        <v>91.033819432691885</v>
      </c>
      <c r="F339" s="7">
        <f t="shared" si="38"/>
        <v>1175.5927096658481</v>
      </c>
      <c r="G339" s="6">
        <f t="shared" si="39"/>
        <v>27106.55938569727</v>
      </c>
      <c r="H339" s="5">
        <f>+H338+Table1[[#This Row],[PRINCIPAL]]</f>
        <v>222893.44061430261</v>
      </c>
      <c r="I339" s="7">
        <f>Table1[[#This Row],[INTEREST]]+I338</f>
        <v>172105.7098334223</v>
      </c>
      <c r="J339" s="11"/>
      <c r="K339" s="7">
        <f t="shared" si="40"/>
        <v>-32033.767300774642</v>
      </c>
      <c r="L339" s="7">
        <f>+References!$B$1-Table1[[#This Row],[INTEREST ]]</f>
        <v>1279.0350832412662</v>
      </c>
      <c r="M339" s="5">
        <f>+Inputs!$B$11</f>
        <v>100</v>
      </c>
      <c r="N339" s="7">
        <f>+Table1[[#This Row],[BEGINNING BALANCE ]]*Inputs!$B$4/12</f>
        <v>-103.44237357541812</v>
      </c>
      <c r="O339" s="7">
        <f>+SUM(Table1[[#This Row],[PRINCIPAL ]:[INTEREST ]])</f>
        <v>1275.5927096658481</v>
      </c>
      <c r="P339" s="7">
        <f>+Table1[[#This Row],[BEGINNING BALANCE ]]-Table1[[#This Row],[PRINCIPAL ]]-Table1[[#This Row],[EXTRA PAYMENT]]</f>
        <v>-33412.802384015908</v>
      </c>
      <c r="Q339" s="5">
        <f>+Table1[[#This Row],[PRINCIPAL ]]+Table1[[#This Row],[EXTRA PAYMENT]]+Q338</f>
        <v>283412.80238401587</v>
      </c>
      <c r="R339" s="7">
        <f>+Table1[[#This Row],[INTEREST ]]+R338</f>
        <v>145186.34806370892</v>
      </c>
    </row>
    <row r="340" spans="1:18" x14ac:dyDescent="0.25">
      <c r="A340">
        <f t="shared" si="35"/>
        <v>337</v>
      </c>
      <c r="B340" s="1">
        <f t="shared" si="36"/>
        <v>50861</v>
      </c>
      <c r="C340" s="6">
        <f t="shared" si="37"/>
        <v>27106.55938569727</v>
      </c>
      <c r="D340" s="7">
        <f>PPMT(Inputs!$B$4/12,A340,Inputs!$B$5*12,-'Amortization Table'!$C$4)</f>
        <v>1088.061111649534</v>
      </c>
      <c r="E340" s="7">
        <f>IPMT(Inputs!$B$4/12,'Amortization Table'!A340,Inputs!$B$5*12,-'Amortization Table'!$C$4)</f>
        <v>87.531598016313978</v>
      </c>
      <c r="F340" s="7">
        <f t="shared" si="38"/>
        <v>1175.5927096658479</v>
      </c>
      <c r="G340" s="6">
        <f t="shared" si="39"/>
        <v>26018.498274047735</v>
      </c>
      <c r="H340" s="5">
        <f>+H339+Table1[[#This Row],[PRINCIPAL]]</f>
        <v>223981.50172595214</v>
      </c>
      <c r="I340" s="7">
        <f>Table1[[#This Row],[INTEREST]]+I339</f>
        <v>172193.2414314386</v>
      </c>
      <c r="J340" s="11"/>
      <c r="K340" s="7">
        <f t="shared" si="40"/>
        <v>-33412.802384015908</v>
      </c>
      <c r="L340" s="7">
        <f>+References!$B$1-Table1[[#This Row],[INTEREST ]]</f>
        <v>1283.4882173642329</v>
      </c>
      <c r="M340" s="5">
        <f>+Inputs!$B$11</f>
        <v>100</v>
      </c>
      <c r="N340" s="7">
        <f>+Table1[[#This Row],[BEGINNING BALANCE ]]*Inputs!$B$4/12</f>
        <v>-107.89550769838469</v>
      </c>
      <c r="O340" s="7">
        <f>+SUM(Table1[[#This Row],[PRINCIPAL ]:[INTEREST ]])</f>
        <v>1275.5927096658481</v>
      </c>
      <c r="P340" s="7">
        <f>+Table1[[#This Row],[BEGINNING BALANCE ]]-Table1[[#This Row],[PRINCIPAL ]]-Table1[[#This Row],[EXTRA PAYMENT]]</f>
        <v>-34796.29060138014</v>
      </c>
      <c r="Q340" s="5">
        <f>+Table1[[#This Row],[PRINCIPAL ]]+Table1[[#This Row],[EXTRA PAYMENT]]+Q339</f>
        <v>284796.29060138011</v>
      </c>
      <c r="R340" s="7">
        <f>+Table1[[#This Row],[INTEREST ]]+R339</f>
        <v>145078.45255601054</v>
      </c>
    </row>
    <row r="341" spans="1:18" x14ac:dyDescent="0.25">
      <c r="A341">
        <f t="shared" si="35"/>
        <v>338</v>
      </c>
      <c r="B341" s="1">
        <f t="shared" si="36"/>
        <v>50891</v>
      </c>
      <c r="C341" s="6">
        <f t="shared" si="37"/>
        <v>26018.498274047735</v>
      </c>
      <c r="D341" s="7">
        <f>PPMT(Inputs!$B$4/12,A341,Inputs!$B$5*12,-'Amortization Table'!$C$4)</f>
        <v>1091.5746423225692</v>
      </c>
      <c r="E341" s="7">
        <f>IPMT(Inputs!$B$4/12,'Amortization Table'!A341,Inputs!$B$5*12,-'Amortization Table'!$C$4)</f>
        <v>84.018067343279029</v>
      </c>
      <c r="F341" s="7">
        <f t="shared" si="38"/>
        <v>1175.5927096658481</v>
      </c>
      <c r="G341" s="6">
        <f t="shared" si="39"/>
        <v>24926.923631725167</v>
      </c>
      <c r="H341" s="5">
        <f>+H340+Table1[[#This Row],[PRINCIPAL]]</f>
        <v>225073.07636827472</v>
      </c>
      <c r="I341" s="7">
        <f>Table1[[#This Row],[INTEREST]]+I340</f>
        <v>172277.25949878187</v>
      </c>
      <c r="J341" s="11"/>
      <c r="K341" s="7">
        <f t="shared" si="40"/>
        <v>-34796.29060138014</v>
      </c>
      <c r="L341" s="7">
        <f>+References!$B$1-Table1[[#This Row],[INTEREST ]]</f>
        <v>1287.9557313994715</v>
      </c>
      <c r="M341" s="5">
        <f>+Inputs!$B$11</f>
        <v>100</v>
      </c>
      <c r="N341" s="7">
        <f>+Table1[[#This Row],[BEGINNING BALANCE ]]*Inputs!$B$4/12</f>
        <v>-112.36302173362337</v>
      </c>
      <c r="O341" s="7">
        <f>+SUM(Table1[[#This Row],[PRINCIPAL ]:[INTEREST ]])</f>
        <v>1275.5927096658481</v>
      </c>
      <c r="P341" s="7">
        <f>+Table1[[#This Row],[BEGINNING BALANCE ]]-Table1[[#This Row],[PRINCIPAL ]]-Table1[[#This Row],[EXTRA PAYMENT]]</f>
        <v>-36184.246332779614</v>
      </c>
      <c r="Q341" s="5">
        <f>+Table1[[#This Row],[PRINCIPAL ]]+Table1[[#This Row],[EXTRA PAYMENT]]+Q340</f>
        <v>286184.24633277958</v>
      </c>
      <c r="R341" s="7">
        <f>+Table1[[#This Row],[INTEREST ]]+R340</f>
        <v>144966.08953427692</v>
      </c>
    </row>
    <row r="342" spans="1:18" x14ac:dyDescent="0.25">
      <c r="A342">
        <f t="shared" si="35"/>
        <v>339</v>
      </c>
      <c r="B342" s="1">
        <f t="shared" si="36"/>
        <v>50922</v>
      </c>
      <c r="C342" s="6">
        <f t="shared" si="37"/>
        <v>24926.923631725167</v>
      </c>
      <c r="D342" s="7">
        <f>PPMT(Inputs!$B$4/12,A342,Inputs!$B$5*12,-'Amortization Table'!$C$4)</f>
        <v>1095.0995187717358</v>
      </c>
      <c r="E342" s="7">
        <f>IPMT(Inputs!$B$4/12,'Amortization Table'!A342,Inputs!$B$5*12,-'Amortization Table'!$C$4)</f>
        <v>80.493190894112388</v>
      </c>
      <c r="F342" s="7">
        <f t="shared" si="38"/>
        <v>1175.5927096658481</v>
      </c>
      <c r="G342" s="6">
        <f t="shared" si="39"/>
        <v>23831.824112953433</v>
      </c>
      <c r="H342" s="5">
        <f>+H341+Table1[[#This Row],[PRINCIPAL]]</f>
        <v>226168.17588704647</v>
      </c>
      <c r="I342" s="7">
        <f>Table1[[#This Row],[INTEREST]]+I341</f>
        <v>172357.75268967598</v>
      </c>
      <c r="J342" s="11"/>
      <c r="K342" s="7">
        <f t="shared" si="40"/>
        <v>-36184.246332779614</v>
      </c>
      <c r="L342" s="7">
        <f>+References!$B$1-Table1[[#This Row],[INTEREST ]]</f>
        <v>1292.4376717821156</v>
      </c>
      <c r="M342" s="5">
        <f>+Inputs!$B$11</f>
        <v>100</v>
      </c>
      <c r="N342" s="7">
        <f>+Table1[[#This Row],[BEGINNING BALANCE ]]*Inputs!$B$4/12</f>
        <v>-116.8449621162675</v>
      </c>
      <c r="O342" s="7">
        <f>+SUM(Table1[[#This Row],[PRINCIPAL ]:[INTEREST ]])</f>
        <v>1275.5927096658481</v>
      </c>
      <c r="P342" s="7">
        <f>+Table1[[#This Row],[BEGINNING BALANCE ]]-Table1[[#This Row],[PRINCIPAL ]]-Table1[[#This Row],[EXTRA PAYMENT]]</f>
        <v>-37576.684004561728</v>
      </c>
      <c r="Q342" s="5">
        <f>+Table1[[#This Row],[PRINCIPAL ]]+Table1[[#This Row],[EXTRA PAYMENT]]+Q341</f>
        <v>287576.68400456168</v>
      </c>
      <c r="R342" s="7">
        <f>+Table1[[#This Row],[INTEREST ]]+R341</f>
        <v>144849.24457216065</v>
      </c>
    </row>
    <row r="343" spans="1:18" x14ac:dyDescent="0.25">
      <c r="A343">
        <f t="shared" si="35"/>
        <v>340</v>
      </c>
      <c r="B343" s="1">
        <f t="shared" si="36"/>
        <v>50952</v>
      </c>
      <c r="C343" s="6">
        <f t="shared" si="37"/>
        <v>23831.824112953433</v>
      </c>
      <c r="D343" s="7">
        <f>PPMT(Inputs!$B$4/12,A343,Inputs!$B$5*12,-'Amortization Table'!$C$4)</f>
        <v>1098.6357776344362</v>
      </c>
      <c r="E343" s="7">
        <f>IPMT(Inputs!$B$4/12,'Amortization Table'!A343,Inputs!$B$5*12,-'Amortization Table'!$C$4)</f>
        <v>76.956932031411981</v>
      </c>
      <c r="F343" s="7">
        <f t="shared" si="38"/>
        <v>1175.5927096658481</v>
      </c>
      <c r="G343" s="6">
        <f t="shared" si="39"/>
        <v>22733.188335318995</v>
      </c>
      <c r="H343" s="5">
        <f>+H342+Table1[[#This Row],[PRINCIPAL]]</f>
        <v>227266.81166468089</v>
      </c>
      <c r="I343" s="7">
        <f>Table1[[#This Row],[INTEREST]]+I342</f>
        <v>172434.70962170738</v>
      </c>
      <c r="J343" s="11"/>
      <c r="K343" s="7">
        <f t="shared" si="40"/>
        <v>-37576.684004561728</v>
      </c>
      <c r="L343" s="7">
        <f>+References!$B$1-Table1[[#This Row],[INTEREST ]]</f>
        <v>1296.9340850972453</v>
      </c>
      <c r="M343" s="5">
        <f>+Inputs!$B$11</f>
        <v>100</v>
      </c>
      <c r="N343" s="7">
        <f>+Table1[[#This Row],[BEGINNING BALANCE ]]*Inputs!$B$4/12</f>
        <v>-121.34137543139724</v>
      </c>
      <c r="O343" s="7">
        <f>+SUM(Table1[[#This Row],[PRINCIPAL ]:[INTEREST ]])</f>
        <v>1275.5927096658481</v>
      </c>
      <c r="P343" s="7">
        <f>+Table1[[#This Row],[BEGINNING BALANCE ]]-Table1[[#This Row],[PRINCIPAL ]]-Table1[[#This Row],[EXTRA PAYMENT]]</f>
        <v>-38973.618089658972</v>
      </c>
      <c r="Q343" s="5">
        <f>+Table1[[#This Row],[PRINCIPAL ]]+Table1[[#This Row],[EXTRA PAYMENT]]+Q342</f>
        <v>288973.61808965891</v>
      </c>
      <c r="R343" s="7">
        <f>+Table1[[#This Row],[INTEREST ]]+R342</f>
        <v>144727.90319672925</v>
      </c>
    </row>
    <row r="344" spans="1:18" x14ac:dyDescent="0.25">
      <c r="A344">
        <f t="shared" si="35"/>
        <v>341</v>
      </c>
      <c r="B344" s="1">
        <f t="shared" si="36"/>
        <v>50983</v>
      </c>
      <c r="C344" s="6">
        <f t="shared" si="37"/>
        <v>22733.188335318995</v>
      </c>
      <c r="D344" s="7">
        <f>PPMT(Inputs!$B$4/12,A344,Inputs!$B$5*12,-'Amortization Table'!$C$4)</f>
        <v>1102.1834556663805</v>
      </c>
      <c r="E344" s="7">
        <f>IPMT(Inputs!$B$4/12,'Amortization Table'!A344,Inputs!$B$5*12,-'Amortization Table'!$C$4)</f>
        <v>73.409253999467452</v>
      </c>
      <c r="F344" s="7">
        <f t="shared" si="38"/>
        <v>1175.5927096658479</v>
      </c>
      <c r="G344" s="6">
        <f t="shared" si="39"/>
        <v>21631.004879652613</v>
      </c>
      <c r="H344" s="5">
        <f>+H343+Table1[[#This Row],[PRINCIPAL]]</f>
        <v>228368.99512034727</v>
      </c>
      <c r="I344" s="7">
        <f>Table1[[#This Row],[INTEREST]]+I343</f>
        <v>172508.11887570686</v>
      </c>
      <c r="J344" s="11"/>
      <c r="K344" s="7">
        <f t="shared" si="40"/>
        <v>-38973.618089658972</v>
      </c>
      <c r="L344" s="7">
        <f>+References!$B$1-Table1[[#This Row],[INTEREST ]]</f>
        <v>1301.4450180803719</v>
      </c>
      <c r="M344" s="5">
        <f>+Inputs!$B$11</f>
        <v>100</v>
      </c>
      <c r="N344" s="7">
        <f>+Table1[[#This Row],[BEGINNING BALANCE ]]*Inputs!$B$4/12</f>
        <v>-125.85230841452376</v>
      </c>
      <c r="O344" s="7">
        <f>+SUM(Table1[[#This Row],[PRINCIPAL ]:[INTEREST ]])</f>
        <v>1275.5927096658481</v>
      </c>
      <c r="P344" s="7">
        <f>+Table1[[#This Row],[BEGINNING BALANCE ]]-Table1[[#This Row],[PRINCIPAL ]]-Table1[[#This Row],[EXTRA PAYMENT]]</f>
        <v>-40375.063107739341</v>
      </c>
      <c r="Q344" s="5">
        <f>+Table1[[#This Row],[PRINCIPAL ]]+Table1[[#This Row],[EXTRA PAYMENT]]+Q343</f>
        <v>290375.06310773926</v>
      </c>
      <c r="R344" s="7">
        <f>+Table1[[#This Row],[INTEREST ]]+R343</f>
        <v>144602.05088831473</v>
      </c>
    </row>
    <row r="345" spans="1:18" x14ac:dyDescent="0.25">
      <c r="A345">
        <f t="shared" si="35"/>
        <v>342</v>
      </c>
      <c r="B345" s="1">
        <f t="shared" si="36"/>
        <v>51014</v>
      </c>
      <c r="C345" s="6">
        <f t="shared" si="37"/>
        <v>21631.004879652613</v>
      </c>
      <c r="D345" s="7">
        <f>PPMT(Inputs!$B$4/12,A345,Inputs!$B$5*12,-'Amortization Table'!$C$4)</f>
        <v>1105.7425897419701</v>
      </c>
      <c r="E345" s="7">
        <f>IPMT(Inputs!$B$4/12,'Amortization Table'!A345,Inputs!$B$5*12,-'Amortization Table'!$C$4)</f>
        <v>69.850119923878097</v>
      </c>
      <c r="F345" s="7">
        <f t="shared" si="38"/>
        <v>1175.5927096658481</v>
      </c>
      <c r="G345" s="6">
        <f t="shared" si="39"/>
        <v>20525.262289910643</v>
      </c>
      <c r="H345" s="5">
        <f>+H344+Table1[[#This Row],[PRINCIPAL]]</f>
        <v>229474.73771008925</v>
      </c>
      <c r="I345" s="7">
        <f>Table1[[#This Row],[INTEREST]]+I344</f>
        <v>172577.96899563074</v>
      </c>
      <c r="J345" s="11"/>
      <c r="K345" s="7">
        <f t="shared" si="40"/>
        <v>-40375.063107739341</v>
      </c>
      <c r="L345" s="7">
        <f>+References!$B$1-Table1[[#This Row],[INTEREST ]]</f>
        <v>1305.9705176179232</v>
      </c>
      <c r="M345" s="5">
        <f>+Inputs!$B$11</f>
        <v>100</v>
      </c>
      <c r="N345" s="7">
        <f>+Table1[[#This Row],[BEGINNING BALANCE ]]*Inputs!$B$4/12</f>
        <v>-130.37780795207496</v>
      </c>
      <c r="O345" s="7">
        <f>+SUM(Table1[[#This Row],[PRINCIPAL ]:[INTEREST ]])</f>
        <v>1275.5927096658481</v>
      </c>
      <c r="P345" s="7">
        <f>+Table1[[#This Row],[BEGINNING BALANCE ]]-Table1[[#This Row],[PRINCIPAL ]]-Table1[[#This Row],[EXTRA PAYMENT]]</f>
        <v>-41781.03362535726</v>
      </c>
      <c r="Q345" s="5">
        <f>+Table1[[#This Row],[PRINCIPAL ]]+Table1[[#This Row],[EXTRA PAYMENT]]+Q344</f>
        <v>291781.0336253572</v>
      </c>
      <c r="R345" s="7">
        <f>+Table1[[#This Row],[INTEREST ]]+R344</f>
        <v>144471.67308036264</v>
      </c>
    </row>
    <row r="346" spans="1:18" x14ac:dyDescent="0.25">
      <c r="A346">
        <f t="shared" si="35"/>
        <v>343</v>
      </c>
      <c r="B346" s="1">
        <f t="shared" si="36"/>
        <v>51044</v>
      </c>
      <c r="C346" s="6">
        <f t="shared" si="37"/>
        <v>20525.262289910643</v>
      </c>
      <c r="D346" s="7">
        <f>PPMT(Inputs!$B$4/12,A346,Inputs!$B$5*12,-'Amortization Table'!$C$4)</f>
        <v>1109.3132168546786</v>
      </c>
      <c r="E346" s="7">
        <f>IPMT(Inputs!$B$4/12,'Amortization Table'!A346,Inputs!$B$5*12,-'Amortization Table'!$C$4)</f>
        <v>66.279492811169661</v>
      </c>
      <c r="F346" s="7">
        <f t="shared" si="38"/>
        <v>1175.5927096658481</v>
      </c>
      <c r="G346" s="6">
        <f t="shared" si="39"/>
        <v>19415.949073055963</v>
      </c>
      <c r="H346" s="5">
        <f>+H345+Table1[[#This Row],[PRINCIPAL]]</f>
        <v>230584.05092694392</v>
      </c>
      <c r="I346" s="7">
        <f>Table1[[#This Row],[INTEREST]]+I345</f>
        <v>172644.24848844192</v>
      </c>
      <c r="J346" s="11"/>
      <c r="K346" s="7">
        <f t="shared" si="40"/>
        <v>-41781.03362535726</v>
      </c>
      <c r="L346" s="7">
        <f>+References!$B$1-Table1[[#This Row],[INTEREST ]]</f>
        <v>1310.5106307477311</v>
      </c>
      <c r="M346" s="5">
        <f>+Inputs!$B$11</f>
        <v>100</v>
      </c>
      <c r="N346" s="7">
        <f>+Table1[[#This Row],[BEGINNING BALANCE ]]*Inputs!$B$4/12</f>
        <v>-134.91792108188284</v>
      </c>
      <c r="O346" s="7">
        <f>+SUM(Table1[[#This Row],[PRINCIPAL ]:[INTEREST ]])</f>
        <v>1275.5927096658481</v>
      </c>
      <c r="P346" s="7">
        <f>+Table1[[#This Row],[BEGINNING BALANCE ]]-Table1[[#This Row],[PRINCIPAL ]]-Table1[[#This Row],[EXTRA PAYMENT]]</f>
        <v>-43191.544256104993</v>
      </c>
      <c r="Q346" s="5">
        <f>+Table1[[#This Row],[PRINCIPAL ]]+Table1[[#This Row],[EXTRA PAYMENT]]+Q345</f>
        <v>293191.54425610491</v>
      </c>
      <c r="R346" s="7">
        <f>+Table1[[#This Row],[INTEREST ]]+R345</f>
        <v>144336.75515928076</v>
      </c>
    </row>
    <row r="347" spans="1:18" x14ac:dyDescent="0.25">
      <c r="A347">
        <f t="shared" si="35"/>
        <v>344</v>
      </c>
      <c r="B347" s="1">
        <f t="shared" si="36"/>
        <v>51075</v>
      </c>
      <c r="C347" s="6">
        <f t="shared" si="37"/>
        <v>19415.949073055963</v>
      </c>
      <c r="D347" s="7">
        <f>PPMT(Inputs!$B$4/12,A347,Inputs!$B$5*12,-'Amortization Table'!$C$4)</f>
        <v>1112.8953741174385</v>
      </c>
      <c r="E347" s="7">
        <f>IPMT(Inputs!$B$4/12,'Amortization Table'!A347,Inputs!$B$5*12,-'Amortization Table'!$C$4)</f>
        <v>62.697335548409761</v>
      </c>
      <c r="F347" s="7">
        <f t="shared" si="38"/>
        <v>1175.5927096658481</v>
      </c>
      <c r="G347" s="6">
        <f t="shared" si="39"/>
        <v>18303.053698938525</v>
      </c>
      <c r="H347" s="5">
        <f>+H346+Table1[[#This Row],[PRINCIPAL]]</f>
        <v>231696.94630106137</v>
      </c>
      <c r="I347" s="7">
        <f>Table1[[#This Row],[INTEREST]]+I346</f>
        <v>172706.94582399033</v>
      </c>
      <c r="J347" s="11"/>
      <c r="K347" s="7">
        <f t="shared" si="40"/>
        <v>-43191.544256104993</v>
      </c>
      <c r="L347" s="7">
        <f>+References!$B$1-Table1[[#This Row],[INTEREST ]]</f>
        <v>1315.0654046595205</v>
      </c>
      <c r="M347" s="5">
        <f>+Inputs!$B$11</f>
        <v>100</v>
      </c>
      <c r="N347" s="7">
        <f>+Table1[[#This Row],[BEGINNING BALANCE ]]*Inputs!$B$4/12</f>
        <v>-139.47269499367238</v>
      </c>
      <c r="O347" s="7">
        <f>+SUM(Table1[[#This Row],[PRINCIPAL ]:[INTEREST ]])</f>
        <v>1275.5927096658481</v>
      </c>
      <c r="P347" s="7">
        <f>+Table1[[#This Row],[BEGINNING BALANCE ]]-Table1[[#This Row],[PRINCIPAL ]]-Table1[[#This Row],[EXTRA PAYMENT]]</f>
        <v>-44606.609660764516</v>
      </c>
      <c r="Q347" s="5">
        <f>+Table1[[#This Row],[PRINCIPAL ]]+Table1[[#This Row],[EXTRA PAYMENT]]+Q346</f>
        <v>294606.60966076446</v>
      </c>
      <c r="R347" s="7">
        <f>+Table1[[#This Row],[INTEREST ]]+R346</f>
        <v>144197.2824642871</v>
      </c>
    </row>
    <row r="348" spans="1:18" x14ac:dyDescent="0.25">
      <c r="A348">
        <f t="shared" si="35"/>
        <v>345</v>
      </c>
      <c r="B348" s="1">
        <f t="shared" si="36"/>
        <v>51105</v>
      </c>
      <c r="C348" s="6">
        <f t="shared" si="37"/>
        <v>18303.053698938525</v>
      </c>
      <c r="D348" s="7">
        <f>PPMT(Inputs!$B$4/12,A348,Inputs!$B$5*12,-'Amortization Table'!$C$4)</f>
        <v>1116.489098763026</v>
      </c>
      <c r="E348" s="7">
        <f>IPMT(Inputs!$B$4/12,'Amortization Table'!A348,Inputs!$B$5*12,-'Amortization Table'!$C$4)</f>
        <v>59.103610902822204</v>
      </c>
      <c r="F348" s="7">
        <f t="shared" si="38"/>
        <v>1175.5927096658484</v>
      </c>
      <c r="G348" s="6">
        <f t="shared" si="39"/>
        <v>17186.564600175501</v>
      </c>
      <c r="H348" s="5">
        <f>+H347+Table1[[#This Row],[PRINCIPAL]]</f>
        <v>232813.4353998244</v>
      </c>
      <c r="I348" s="7">
        <f>Table1[[#This Row],[INTEREST]]+I347</f>
        <v>172766.04943489315</v>
      </c>
      <c r="J348" s="11"/>
      <c r="K348" s="7">
        <f t="shared" si="40"/>
        <v>-44606.609660764516</v>
      </c>
      <c r="L348" s="7">
        <f>+References!$B$1-Table1[[#This Row],[INTEREST ]]</f>
        <v>1319.6348866954002</v>
      </c>
      <c r="M348" s="5">
        <f>+Inputs!$B$11</f>
        <v>100</v>
      </c>
      <c r="N348" s="7">
        <f>+Table1[[#This Row],[BEGINNING BALANCE ]]*Inputs!$B$4/12</f>
        <v>-144.04217702955208</v>
      </c>
      <c r="O348" s="7">
        <f>+SUM(Table1[[#This Row],[PRINCIPAL ]:[INTEREST ]])</f>
        <v>1275.5927096658481</v>
      </c>
      <c r="P348" s="7">
        <f>+Table1[[#This Row],[BEGINNING BALANCE ]]-Table1[[#This Row],[PRINCIPAL ]]-Table1[[#This Row],[EXTRA PAYMENT]]</f>
        <v>-46026.244547459915</v>
      </c>
      <c r="Q348" s="5">
        <f>+Table1[[#This Row],[PRINCIPAL ]]+Table1[[#This Row],[EXTRA PAYMENT]]+Q347</f>
        <v>296026.24454745988</v>
      </c>
      <c r="R348" s="7">
        <f>+Table1[[#This Row],[INTEREST ]]+R347</f>
        <v>144053.24028725753</v>
      </c>
    </row>
    <row r="349" spans="1:18" x14ac:dyDescent="0.25">
      <c r="A349">
        <f t="shared" si="35"/>
        <v>346</v>
      </c>
      <c r="B349" s="1">
        <f t="shared" si="36"/>
        <v>51136</v>
      </c>
      <c r="C349" s="6">
        <f t="shared" si="37"/>
        <v>17186.564600175501</v>
      </c>
      <c r="D349" s="7">
        <f>PPMT(Inputs!$B$4/12,A349,Inputs!$B$5*12,-'Amortization Table'!$C$4)</f>
        <v>1120.0944281444481</v>
      </c>
      <c r="E349" s="7">
        <f>IPMT(Inputs!$B$4/12,'Amortization Table'!A349,Inputs!$B$5*12,-'Amortization Table'!$C$4)</f>
        <v>55.498281521399925</v>
      </c>
      <c r="F349" s="7">
        <f t="shared" si="38"/>
        <v>1175.5927096658481</v>
      </c>
      <c r="G349" s="6">
        <f t="shared" si="39"/>
        <v>16066.470172031053</v>
      </c>
      <c r="H349" s="5">
        <f>+H348+Table1[[#This Row],[PRINCIPAL]]</f>
        <v>233933.52982796886</v>
      </c>
      <c r="I349" s="7">
        <f>Table1[[#This Row],[INTEREST]]+I348</f>
        <v>172821.54771641456</v>
      </c>
      <c r="J349" s="11"/>
      <c r="K349" s="7">
        <f t="shared" si="40"/>
        <v>-46026.244547459915</v>
      </c>
      <c r="L349" s="7">
        <f>+References!$B$1-Table1[[#This Row],[INTEREST ]]</f>
        <v>1324.2191243503542</v>
      </c>
      <c r="M349" s="5">
        <f>+Inputs!$B$11</f>
        <v>100</v>
      </c>
      <c r="N349" s="7">
        <f>+Table1[[#This Row],[BEGINNING BALANCE ]]*Inputs!$B$4/12</f>
        <v>-148.62641468450599</v>
      </c>
      <c r="O349" s="7">
        <f>+SUM(Table1[[#This Row],[PRINCIPAL ]:[INTEREST ]])</f>
        <v>1275.5927096658481</v>
      </c>
      <c r="P349" s="7">
        <f>+Table1[[#This Row],[BEGINNING BALANCE ]]-Table1[[#This Row],[PRINCIPAL ]]-Table1[[#This Row],[EXTRA PAYMENT]]</f>
        <v>-47450.46367181027</v>
      </c>
      <c r="Q349" s="5">
        <f>+Table1[[#This Row],[PRINCIPAL ]]+Table1[[#This Row],[EXTRA PAYMENT]]+Q348</f>
        <v>297450.46367181023</v>
      </c>
      <c r="R349" s="7">
        <f>+Table1[[#This Row],[INTEREST ]]+R348</f>
        <v>143904.61387257304</v>
      </c>
    </row>
    <row r="350" spans="1:18" x14ac:dyDescent="0.25">
      <c r="A350">
        <f t="shared" si="35"/>
        <v>347</v>
      </c>
      <c r="B350" s="1">
        <f t="shared" si="36"/>
        <v>51167</v>
      </c>
      <c r="C350" s="6">
        <f t="shared" si="37"/>
        <v>16066.470172031053</v>
      </c>
      <c r="D350" s="7">
        <f>PPMT(Inputs!$B$4/12,A350,Inputs!$B$5*12,-'Amortization Table'!$C$4)</f>
        <v>1123.7113997353313</v>
      </c>
      <c r="E350" s="7">
        <f>IPMT(Inputs!$B$4/12,'Amortization Table'!A350,Inputs!$B$5*12,-'Amortization Table'!$C$4)</f>
        <v>51.881309930516814</v>
      </c>
      <c r="F350" s="7">
        <f t="shared" si="38"/>
        <v>1175.5927096658481</v>
      </c>
      <c r="G350" s="6">
        <f t="shared" si="39"/>
        <v>14942.758772295721</v>
      </c>
      <c r="H350" s="5">
        <f>+H349+Table1[[#This Row],[PRINCIPAL]]</f>
        <v>235057.24122770419</v>
      </c>
      <c r="I350" s="7">
        <f>Table1[[#This Row],[INTEREST]]+I349</f>
        <v>172873.42902634508</v>
      </c>
      <c r="J350" s="11"/>
      <c r="K350" s="7">
        <f t="shared" si="40"/>
        <v>-47450.46367181027</v>
      </c>
      <c r="L350" s="7">
        <f>+References!$B$1-Table1[[#This Row],[INTEREST ]]</f>
        <v>1328.8181652727355</v>
      </c>
      <c r="M350" s="5">
        <f>+Inputs!$B$11</f>
        <v>100</v>
      </c>
      <c r="N350" s="7">
        <f>+Table1[[#This Row],[BEGINNING BALANCE ]]*Inputs!$B$4/12</f>
        <v>-153.22545560688732</v>
      </c>
      <c r="O350" s="7">
        <f>+SUM(Table1[[#This Row],[PRINCIPAL ]:[INTEREST ]])</f>
        <v>1275.5927096658481</v>
      </c>
      <c r="P350" s="7">
        <f>+Table1[[#This Row],[BEGINNING BALANCE ]]-Table1[[#This Row],[PRINCIPAL ]]-Table1[[#This Row],[EXTRA PAYMENT]]</f>
        <v>-48879.281837083006</v>
      </c>
      <c r="Q350" s="5">
        <f>+Table1[[#This Row],[PRINCIPAL ]]+Table1[[#This Row],[EXTRA PAYMENT]]+Q349</f>
        <v>298879.28183708293</v>
      </c>
      <c r="R350" s="7">
        <f>+Table1[[#This Row],[INTEREST ]]+R349</f>
        <v>143751.38841696616</v>
      </c>
    </row>
    <row r="351" spans="1:18" x14ac:dyDescent="0.25">
      <c r="A351">
        <f t="shared" si="35"/>
        <v>348</v>
      </c>
      <c r="B351" s="1">
        <f t="shared" si="36"/>
        <v>51196</v>
      </c>
      <c r="C351" s="6">
        <f t="shared" si="37"/>
        <v>14942.758772295721</v>
      </c>
      <c r="D351" s="7">
        <f>PPMT(Inputs!$B$4/12,A351,Inputs!$B$5*12,-'Amortization Table'!$C$4)</f>
        <v>1127.34005113031</v>
      </c>
      <c r="E351" s="7">
        <f>IPMT(Inputs!$B$4/12,'Amortization Table'!A351,Inputs!$B$5*12,-'Amortization Table'!$C$4)</f>
        <v>48.252658535538153</v>
      </c>
      <c r="F351" s="7">
        <f t="shared" si="38"/>
        <v>1175.5927096658481</v>
      </c>
      <c r="G351" s="6">
        <f t="shared" si="39"/>
        <v>13815.418721165412</v>
      </c>
      <c r="H351" s="5">
        <f>+H350+Table1[[#This Row],[PRINCIPAL]]</f>
        <v>236184.58127883449</v>
      </c>
      <c r="I351" s="7">
        <f>Table1[[#This Row],[INTEREST]]+I350</f>
        <v>172921.68168488063</v>
      </c>
      <c r="J351" s="11"/>
      <c r="K351" s="7">
        <f t="shared" si="40"/>
        <v>-48879.281837083006</v>
      </c>
      <c r="L351" s="7">
        <f>+References!$B$1-Table1[[#This Row],[INTEREST ]]</f>
        <v>1333.4320572647621</v>
      </c>
      <c r="M351" s="5">
        <f>+Inputs!$B$11</f>
        <v>100</v>
      </c>
      <c r="N351" s="7">
        <f>+Table1[[#This Row],[BEGINNING BALANCE ]]*Inputs!$B$4/12</f>
        <v>-157.83934759891386</v>
      </c>
      <c r="O351" s="7">
        <f>+SUM(Table1[[#This Row],[PRINCIPAL ]:[INTEREST ]])</f>
        <v>1275.5927096658481</v>
      </c>
      <c r="P351" s="7">
        <f>+Table1[[#This Row],[BEGINNING BALANCE ]]-Table1[[#This Row],[PRINCIPAL ]]-Table1[[#This Row],[EXTRA PAYMENT]]</f>
        <v>-50312.713894347769</v>
      </c>
      <c r="Q351" s="5">
        <f>+Table1[[#This Row],[PRINCIPAL ]]+Table1[[#This Row],[EXTRA PAYMENT]]+Q350</f>
        <v>300312.71389434772</v>
      </c>
      <c r="R351" s="7">
        <f>+Table1[[#This Row],[INTEREST ]]+R350</f>
        <v>143593.54906936726</v>
      </c>
    </row>
    <row r="352" spans="1:18" x14ac:dyDescent="0.25">
      <c r="A352">
        <f t="shared" si="35"/>
        <v>349</v>
      </c>
      <c r="B352" s="1">
        <f t="shared" si="36"/>
        <v>51227</v>
      </c>
      <c r="C352" s="6">
        <f t="shared" si="37"/>
        <v>13815.418721165412</v>
      </c>
      <c r="D352" s="7">
        <f>PPMT(Inputs!$B$4/12,A352,Inputs!$B$5*12,-'Amortization Table'!$C$4)</f>
        <v>1130.9804200454182</v>
      </c>
      <c r="E352" s="7">
        <f>IPMT(Inputs!$B$4/12,'Amortization Table'!A352,Inputs!$B$5*12,-'Amortization Table'!$C$4)</f>
        <v>44.612289620429848</v>
      </c>
      <c r="F352" s="7">
        <f t="shared" si="38"/>
        <v>1175.5927096658481</v>
      </c>
      <c r="G352" s="6">
        <f t="shared" si="39"/>
        <v>12684.438301119993</v>
      </c>
      <c r="H352" s="5">
        <f>+H351+Table1[[#This Row],[PRINCIPAL]]</f>
        <v>237315.5616988799</v>
      </c>
      <c r="I352" s="7">
        <f>Table1[[#This Row],[INTEREST]]+I351</f>
        <v>172966.29397450105</v>
      </c>
      <c r="J352" s="11"/>
      <c r="K352" s="7">
        <f t="shared" si="40"/>
        <v>-50312.713894347769</v>
      </c>
      <c r="L352" s="7">
        <f>+References!$B$1-Table1[[#This Row],[INTEREST ]]</f>
        <v>1338.0608482830128</v>
      </c>
      <c r="M352" s="5">
        <f>+Inputs!$B$11</f>
        <v>100</v>
      </c>
      <c r="N352" s="7">
        <f>+Table1[[#This Row],[BEGINNING BALANCE ]]*Inputs!$B$4/12</f>
        <v>-162.46813861716467</v>
      </c>
      <c r="O352" s="7">
        <f>+SUM(Table1[[#This Row],[PRINCIPAL ]:[INTEREST ]])</f>
        <v>1275.5927096658481</v>
      </c>
      <c r="P352" s="7">
        <f>+Table1[[#This Row],[BEGINNING BALANCE ]]-Table1[[#This Row],[PRINCIPAL ]]-Table1[[#This Row],[EXTRA PAYMENT]]</f>
        <v>-51750.774742630783</v>
      </c>
      <c r="Q352" s="5">
        <f>+Table1[[#This Row],[PRINCIPAL ]]+Table1[[#This Row],[EXTRA PAYMENT]]+Q351</f>
        <v>301750.77474263072</v>
      </c>
      <c r="R352" s="7">
        <f>+Table1[[#This Row],[INTEREST ]]+R351</f>
        <v>143431.08093075009</v>
      </c>
    </row>
    <row r="353" spans="1:18" x14ac:dyDescent="0.25">
      <c r="A353">
        <f t="shared" si="35"/>
        <v>350</v>
      </c>
      <c r="B353" s="1">
        <f t="shared" si="36"/>
        <v>51257</v>
      </c>
      <c r="C353" s="6">
        <f t="shared" si="37"/>
        <v>12684.438301119993</v>
      </c>
      <c r="D353" s="7">
        <f>PPMT(Inputs!$B$4/12,A353,Inputs!$B$5*12,-'Amortization Table'!$C$4)</f>
        <v>1134.6325443184817</v>
      </c>
      <c r="E353" s="7">
        <f>IPMT(Inputs!$B$4/12,'Amortization Table'!A353,Inputs!$B$5*12,-'Amortization Table'!$C$4)</f>
        <v>40.960165347366519</v>
      </c>
      <c r="F353" s="7">
        <f t="shared" si="38"/>
        <v>1175.5927096658481</v>
      </c>
      <c r="G353" s="6">
        <f t="shared" si="39"/>
        <v>11549.805756801512</v>
      </c>
      <c r="H353" s="5">
        <f>+H352+Table1[[#This Row],[PRINCIPAL]]</f>
        <v>238450.19424319838</v>
      </c>
      <c r="I353" s="7">
        <f>Table1[[#This Row],[INTEREST]]+I352</f>
        <v>173007.25413984843</v>
      </c>
      <c r="J353" s="11"/>
      <c r="K353" s="7">
        <f t="shared" si="40"/>
        <v>-51750.774742630783</v>
      </c>
      <c r="L353" s="7">
        <f>+References!$B$1-Table1[[#This Row],[INTEREST ]]</f>
        <v>1342.7045864389268</v>
      </c>
      <c r="M353" s="5">
        <f>+Inputs!$B$11</f>
        <v>100</v>
      </c>
      <c r="N353" s="7">
        <f>+Table1[[#This Row],[BEGINNING BALANCE ]]*Inputs!$B$4/12</f>
        <v>-167.11187677307856</v>
      </c>
      <c r="O353" s="7">
        <f>+SUM(Table1[[#This Row],[PRINCIPAL ]:[INTEREST ]])</f>
        <v>1275.5927096658481</v>
      </c>
      <c r="P353" s="7">
        <f>+Table1[[#This Row],[BEGINNING BALANCE ]]-Table1[[#This Row],[PRINCIPAL ]]-Table1[[#This Row],[EXTRA PAYMENT]]</f>
        <v>-53193.479329069713</v>
      </c>
      <c r="Q353" s="5">
        <f>+Table1[[#This Row],[PRINCIPAL ]]+Table1[[#This Row],[EXTRA PAYMENT]]+Q352</f>
        <v>303193.47932906967</v>
      </c>
      <c r="R353" s="7">
        <f>+Table1[[#This Row],[INTEREST ]]+R352</f>
        <v>143263.96905397702</v>
      </c>
    </row>
    <row r="354" spans="1:18" x14ac:dyDescent="0.25">
      <c r="A354">
        <f t="shared" si="35"/>
        <v>351</v>
      </c>
      <c r="B354" s="1">
        <f t="shared" si="36"/>
        <v>51288</v>
      </c>
      <c r="C354" s="6">
        <f t="shared" si="37"/>
        <v>11549.805756801512</v>
      </c>
      <c r="D354" s="7">
        <f>PPMT(Inputs!$B$4/12,A354,Inputs!$B$5*12,-'Amortization Table'!$C$4)</f>
        <v>1138.2964619095098</v>
      </c>
      <c r="E354" s="7">
        <f>IPMT(Inputs!$B$4/12,'Amortization Table'!A354,Inputs!$B$5*12,-'Amortization Table'!$C$4)</f>
        <v>37.296247756338083</v>
      </c>
      <c r="F354" s="7">
        <f t="shared" si="38"/>
        <v>1175.5927096658479</v>
      </c>
      <c r="G354" s="6">
        <f t="shared" si="39"/>
        <v>10411.509294892003</v>
      </c>
      <c r="H354" s="5">
        <f>+H353+Table1[[#This Row],[PRINCIPAL]]</f>
        <v>239588.49070510789</v>
      </c>
      <c r="I354" s="7">
        <f>Table1[[#This Row],[INTEREST]]+I353</f>
        <v>173044.55038760477</v>
      </c>
      <c r="J354" s="11"/>
      <c r="K354" s="7">
        <f t="shared" si="40"/>
        <v>-53193.479329069713</v>
      </c>
      <c r="L354" s="7">
        <f>+References!$B$1-Table1[[#This Row],[INTEREST ]]</f>
        <v>1347.3633199993023</v>
      </c>
      <c r="M354" s="5">
        <f>+Inputs!$B$11</f>
        <v>100</v>
      </c>
      <c r="N354" s="7">
        <f>+Table1[[#This Row],[BEGINNING BALANCE ]]*Inputs!$B$4/12</f>
        <v>-171.7706103334543</v>
      </c>
      <c r="O354" s="7">
        <f>+SUM(Table1[[#This Row],[PRINCIPAL ]:[INTEREST ]])</f>
        <v>1275.5927096658481</v>
      </c>
      <c r="P354" s="7">
        <f>+Table1[[#This Row],[BEGINNING BALANCE ]]-Table1[[#This Row],[PRINCIPAL ]]-Table1[[#This Row],[EXTRA PAYMENT]]</f>
        <v>-54640.842649069018</v>
      </c>
      <c r="Q354" s="5">
        <f>+Table1[[#This Row],[PRINCIPAL ]]+Table1[[#This Row],[EXTRA PAYMENT]]+Q353</f>
        <v>304640.84264906897</v>
      </c>
      <c r="R354" s="7">
        <f>+Table1[[#This Row],[INTEREST ]]+R353</f>
        <v>143092.19844364357</v>
      </c>
    </row>
    <row r="355" spans="1:18" x14ac:dyDescent="0.25">
      <c r="A355">
        <f t="shared" si="35"/>
        <v>352</v>
      </c>
      <c r="B355" s="1">
        <f t="shared" si="36"/>
        <v>51318</v>
      </c>
      <c r="C355" s="6">
        <f t="shared" si="37"/>
        <v>10411.509294892003</v>
      </c>
      <c r="D355" s="7">
        <f>PPMT(Inputs!$B$4/12,A355,Inputs!$B$5*12,-'Amortization Table'!$C$4)</f>
        <v>1141.9722109010929</v>
      </c>
      <c r="E355" s="7">
        <f>IPMT(Inputs!$B$4/12,'Amortization Table'!A355,Inputs!$B$5*12,-'Amortization Table'!$C$4)</f>
        <v>33.620498764755297</v>
      </c>
      <c r="F355" s="7">
        <f t="shared" si="38"/>
        <v>1175.5927096658481</v>
      </c>
      <c r="G355" s="6">
        <f t="shared" si="39"/>
        <v>9269.5370839909101</v>
      </c>
      <c r="H355" s="5">
        <f>+H354+Table1[[#This Row],[PRINCIPAL]]</f>
        <v>240730.46291600898</v>
      </c>
      <c r="I355" s="7">
        <f>Table1[[#This Row],[INTEREST]]+I354</f>
        <v>173078.17088636954</v>
      </c>
      <c r="J355" s="11"/>
      <c r="K355" s="7">
        <f t="shared" si="40"/>
        <v>-54640.842649069018</v>
      </c>
      <c r="L355" s="7">
        <f>+References!$B$1-Table1[[#This Row],[INTEREST ]]</f>
        <v>1352.0370973868003</v>
      </c>
      <c r="M355" s="5">
        <f>+Inputs!$B$11</f>
        <v>100</v>
      </c>
      <c r="N355" s="7">
        <f>+Table1[[#This Row],[BEGINNING BALANCE ]]*Inputs!$B$4/12</f>
        <v>-176.44438772095202</v>
      </c>
      <c r="O355" s="7">
        <f>+SUM(Table1[[#This Row],[PRINCIPAL ]:[INTEREST ]])</f>
        <v>1275.5927096658484</v>
      </c>
      <c r="P355" s="7">
        <f>+Table1[[#This Row],[BEGINNING BALANCE ]]-Table1[[#This Row],[PRINCIPAL ]]-Table1[[#This Row],[EXTRA PAYMENT]]</f>
        <v>-56092.879746455816</v>
      </c>
      <c r="Q355" s="5">
        <f>+Table1[[#This Row],[PRINCIPAL ]]+Table1[[#This Row],[EXTRA PAYMENT]]+Q354</f>
        <v>306092.87974645576</v>
      </c>
      <c r="R355" s="7">
        <f>+Table1[[#This Row],[INTEREST ]]+R354</f>
        <v>142915.75405592262</v>
      </c>
    </row>
    <row r="356" spans="1:18" x14ac:dyDescent="0.25">
      <c r="A356">
        <f t="shared" si="35"/>
        <v>353</v>
      </c>
      <c r="B356" s="1">
        <f t="shared" si="36"/>
        <v>51349</v>
      </c>
      <c r="C356" s="6">
        <f t="shared" si="37"/>
        <v>9269.5370839909101</v>
      </c>
      <c r="D356" s="7">
        <f>PPMT(Inputs!$B$4/12,A356,Inputs!$B$5*12,-'Amortization Table'!$C$4)</f>
        <v>1145.6598294987944</v>
      </c>
      <c r="E356" s="7">
        <f>IPMT(Inputs!$B$4/12,'Amortization Table'!A356,Inputs!$B$5*12,-'Amortization Table'!$C$4)</f>
        <v>29.932880167053852</v>
      </c>
      <c r="F356" s="7">
        <f t="shared" si="38"/>
        <v>1175.5927096658481</v>
      </c>
      <c r="G356" s="6">
        <f t="shared" si="39"/>
        <v>8123.8772544921158</v>
      </c>
      <c r="H356" s="5">
        <f>+H355+Table1[[#This Row],[PRINCIPAL]]</f>
        <v>241876.12274550778</v>
      </c>
      <c r="I356" s="7">
        <f>Table1[[#This Row],[INTEREST]]+I355</f>
        <v>173108.1037665366</v>
      </c>
      <c r="J356" s="11"/>
      <c r="K356" s="7">
        <f t="shared" si="40"/>
        <v>-56092.879746455816</v>
      </c>
      <c r="L356" s="7">
        <f>+References!$B$1-Table1[[#This Row],[INTEREST ]]</f>
        <v>1356.725967180445</v>
      </c>
      <c r="M356" s="5">
        <f>+Inputs!$B$11</f>
        <v>100</v>
      </c>
      <c r="N356" s="7">
        <f>+Table1[[#This Row],[BEGINNING BALANCE ]]*Inputs!$B$4/12</f>
        <v>-181.13325751459692</v>
      </c>
      <c r="O356" s="7">
        <f>+SUM(Table1[[#This Row],[PRINCIPAL ]:[INTEREST ]])</f>
        <v>1275.5927096658481</v>
      </c>
      <c r="P356" s="7">
        <f>+Table1[[#This Row],[BEGINNING BALANCE ]]-Table1[[#This Row],[PRINCIPAL ]]-Table1[[#This Row],[EXTRA PAYMENT]]</f>
        <v>-57549.605713636258</v>
      </c>
      <c r="Q356" s="5">
        <f>+Table1[[#This Row],[PRINCIPAL ]]+Table1[[#This Row],[EXTRA PAYMENT]]+Q355</f>
        <v>307549.60571363621</v>
      </c>
      <c r="R356" s="7">
        <f>+Table1[[#This Row],[INTEREST ]]+R355</f>
        <v>142734.62079840802</v>
      </c>
    </row>
    <row r="357" spans="1:18" x14ac:dyDescent="0.25">
      <c r="A357">
        <f t="shared" si="35"/>
        <v>354</v>
      </c>
      <c r="B357" s="1">
        <f t="shared" si="36"/>
        <v>51380</v>
      </c>
      <c r="C357" s="6">
        <f t="shared" si="37"/>
        <v>8123.8772544921158</v>
      </c>
      <c r="D357" s="7">
        <f>PPMT(Inputs!$B$4/12,A357,Inputs!$B$5*12,-'Amortization Table'!$C$4)</f>
        <v>1149.3593560315508</v>
      </c>
      <c r="E357" s="7">
        <f>IPMT(Inputs!$B$4/12,'Amortization Table'!A357,Inputs!$B$5*12,-'Amortization Table'!$C$4)</f>
        <v>26.233353634297323</v>
      </c>
      <c r="F357" s="7">
        <f t="shared" si="38"/>
        <v>1175.5927096658481</v>
      </c>
      <c r="G357" s="6">
        <f t="shared" si="39"/>
        <v>6974.5178984605645</v>
      </c>
      <c r="H357" s="5">
        <f>+H356+Table1[[#This Row],[PRINCIPAL]]</f>
        <v>243025.48210153932</v>
      </c>
      <c r="I357" s="7">
        <f>Table1[[#This Row],[INTEREST]]+I356</f>
        <v>173134.33712017091</v>
      </c>
      <c r="J357" s="11"/>
      <c r="K357" s="7">
        <f t="shared" si="40"/>
        <v>-57549.605713636258</v>
      </c>
      <c r="L357" s="7">
        <f>+References!$B$1-Table1[[#This Row],[INTEREST ]]</f>
        <v>1361.4299781161319</v>
      </c>
      <c r="M357" s="5">
        <f>+Inputs!$B$11</f>
        <v>100</v>
      </c>
      <c r="N357" s="7">
        <f>+Table1[[#This Row],[BEGINNING BALANCE ]]*Inputs!$B$4/12</f>
        <v>-185.83726845028374</v>
      </c>
      <c r="O357" s="7">
        <f>+SUM(Table1[[#This Row],[PRINCIPAL ]:[INTEREST ]])</f>
        <v>1275.5927096658481</v>
      </c>
      <c r="P357" s="7">
        <f>+Table1[[#This Row],[BEGINNING BALANCE ]]-Table1[[#This Row],[PRINCIPAL ]]-Table1[[#This Row],[EXTRA PAYMENT]]</f>
        <v>-59011.03569175239</v>
      </c>
      <c r="Q357" s="5">
        <f>+Table1[[#This Row],[PRINCIPAL ]]+Table1[[#This Row],[EXTRA PAYMENT]]+Q356</f>
        <v>309011.03569175233</v>
      </c>
      <c r="R357" s="7">
        <f>+Table1[[#This Row],[INTEREST ]]+R356</f>
        <v>142548.78352995773</v>
      </c>
    </row>
    <row r="358" spans="1:18" x14ac:dyDescent="0.25">
      <c r="A358">
        <f t="shared" ref="A358:A360" si="41">+A357+1</f>
        <v>355</v>
      </c>
      <c r="B358" s="1">
        <f t="shared" ref="B358:B363" si="42">+EOMONTH(B357,0)+1</f>
        <v>51410</v>
      </c>
      <c r="C358" s="6">
        <f t="shared" ref="C358:C363" si="43">+G357</f>
        <v>6974.5178984605645</v>
      </c>
      <c r="D358" s="7">
        <f>PPMT(Inputs!$B$4/12,A358,Inputs!$B$5*12,-'Amortization Table'!$C$4)</f>
        <v>1153.0708289520692</v>
      </c>
      <c r="E358" s="7">
        <f>IPMT(Inputs!$B$4/12,'Amortization Table'!A358,Inputs!$B$5*12,-'Amortization Table'!$C$4)</f>
        <v>22.521880713778781</v>
      </c>
      <c r="F358" s="7">
        <f t="shared" si="38"/>
        <v>1175.5927096658479</v>
      </c>
      <c r="G358" s="6">
        <f t="shared" si="39"/>
        <v>5821.4470695084956</v>
      </c>
      <c r="H358" s="5">
        <f>+H357+Table1[[#This Row],[PRINCIPAL]]</f>
        <v>244178.55293049139</v>
      </c>
      <c r="I358" s="7">
        <f>Table1[[#This Row],[INTEREST]]+I357</f>
        <v>173156.85900088469</v>
      </c>
      <c r="J358" s="11"/>
      <c r="K358" s="7">
        <f t="shared" si="40"/>
        <v>-59011.03569175239</v>
      </c>
      <c r="L358" s="7">
        <f>+References!$B$1-Table1[[#This Row],[INTEREST ]]</f>
        <v>1366.1491790871319</v>
      </c>
      <c r="M358" s="5">
        <f>+Inputs!$B$11</f>
        <v>100</v>
      </c>
      <c r="N358" s="7">
        <f>+Table1[[#This Row],[BEGINNING BALANCE ]]*Inputs!$B$4/12</f>
        <v>-190.55646942128377</v>
      </c>
      <c r="O358" s="7">
        <f>+SUM(Table1[[#This Row],[PRINCIPAL ]:[INTEREST ]])</f>
        <v>1275.5927096658481</v>
      </c>
      <c r="P358" s="7">
        <f>+Table1[[#This Row],[BEGINNING BALANCE ]]-Table1[[#This Row],[PRINCIPAL ]]-Table1[[#This Row],[EXTRA PAYMENT]]</f>
        <v>-60477.184870839519</v>
      </c>
      <c r="Q358" s="5">
        <f>+Table1[[#This Row],[PRINCIPAL ]]+Table1[[#This Row],[EXTRA PAYMENT]]+Q357</f>
        <v>310477.18487083947</v>
      </c>
      <c r="R358" s="7">
        <f>+Table1[[#This Row],[INTEREST ]]+R357</f>
        <v>142358.22706053645</v>
      </c>
    </row>
    <row r="359" spans="1:18" x14ac:dyDescent="0.25">
      <c r="A359">
        <f t="shared" si="41"/>
        <v>356</v>
      </c>
      <c r="B359" s="1">
        <f t="shared" si="42"/>
        <v>51441</v>
      </c>
      <c r="C359" s="6">
        <f t="shared" si="43"/>
        <v>5821.4470695084956</v>
      </c>
      <c r="D359" s="7">
        <f>PPMT(Inputs!$B$4/12,A359,Inputs!$B$5*12,-'Amortization Table'!$C$4)</f>
        <v>1156.7942868372272</v>
      </c>
      <c r="E359" s="7">
        <f>IPMT(Inputs!$B$4/12,'Amortization Table'!A359,Inputs!$B$5*12,-'Amortization Table'!$C$4)</f>
        <v>18.798422828621053</v>
      </c>
      <c r="F359" s="7">
        <f t="shared" si="38"/>
        <v>1175.5927096658484</v>
      </c>
      <c r="G359" s="6">
        <f t="shared" si="39"/>
        <v>4664.6527826712681</v>
      </c>
      <c r="H359" s="5">
        <f>+H358+Table1[[#This Row],[PRINCIPAL]]</f>
        <v>245335.34721732861</v>
      </c>
      <c r="I359" s="7">
        <f>Table1[[#This Row],[INTEREST]]+I358</f>
        <v>173175.6574237133</v>
      </c>
      <c r="J359" s="11"/>
      <c r="K359" s="7">
        <f t="shared" si="40"/>
        <v>-60477.184870839519</v>
      </c>
      <c r="L359" s="7">
        <f>+References!$B$1-Table1[[#This Row],[INTEREST ]]</f>
        <v>1370.8836191446007</v>
      </c>
      <c r="M359" s="5">
        <f>+Inputs!$B$11</f>
        <v>100</v>
      </c>
      <c r="N359" s="7">
        <f>+Table1[[#This Row],[BEGINNING BALANCE ]]*Inputs!$B$4/12</f>
        <v>-195.29090947875261</v>
      </c>
      <c r="O359" s="7">
        <f>+SUM(Table1[[#This Row],[PRINCIPAL ]:[INTEREST ]])</f>
        <v>1275.5927096658481</v>
      </c>
      <c r="P359" s="7">
        <f>+Table1[[#This Row],[BEGINNING BALANCE ]]-Table1[[#This Row],[PRINCIPAL ]]-Table1[[#This Row],[EXTRA PAYMENT]]</f>
        <v>-61948.068489984122</v>
      </c>
      <c r="Q359" s="5">
        <f>+Table1[[#This Row],[PRINCIPAL ]]+Table1[[#This Row],[EXTRA PAYMENT]]+Q358</f>
        <v>311948.06848998409</v>
      </c>
      <c r="R359" s="7">
        <f>+Table1[[#This Row],[INTEREST ]]+R358</f>
        <v>142162.93615105769</v>
      </c>
    </row>
    <row r="360" spans="1:18" x14ac:dyDescent="0.25">
      <c r="A360">
        <f t="shared" si="41"/>
        <v>357</v>
      </c>
      <c r="B360" s="1">
        <f t="shared" si="42"/>
        <v>51471</v>
      </c>
      <c r="C360" s="6">
        <f t="shared" si="43"/>
        <v>4664.6527826712681</v>
      </c>
      <c r="D360" s="7">
        <f>PPMT(Inputs!$B$4/12,A360,Inputs!$B$5*12,-'Amortization Table'!$C$4)</f>
        <v>1160.5297683884723</v>
      </c>
      <c r="E360" s="7">
        <f>IPMT(Inputs!$B$4/12,'Amortization Table'!A360,Inputs!$B$5*12,-'Amortization Table'!$C$4)</f>
        <v>15.062941277375844</v>
      </c>
      <c r="F360" s="7">
        <f t="shared" si="38"/>
        <v>1175.5927096658481</v>
      </c>
      <c r="G360" s="6">
        <f t="shared" si="39"/>
        <v>3504.1230142827958</v>
      </c>
      <c r="H360" s="5">
        <f>+H359+Table1[[#This Row],[PRINCIPAL]]</f>
        <v>246495.8769857171</v>
      </c>
      <c r="I360" s="7">
        <f>Table1[[#This Row],[INTEREST]]+I359</f>
        <v>173190.72036499067</v>
      </c>
      <c r="J360" s="11"/>
      <c r="K360" s="7">
        <f t="shared" si="40"/>
        <v>-61948.068489984122</v>
      </c>
      <c r="L360" s="7">
        <f>+References!$B$1-Table1[[#This Row],[INTEREST ]]</f>
        <v>1375.6333474980886</v>
      </c>
      <c r="M360" s="5">
        <f>+Inputs!$B$11</f>
        <v>100</v>
      </c>
      <c r="N360" s="7">
        <f>+Table1[[#This Row],[BEGINNING BALANCE ]]*Inputs!$B$4/12</f>
        <v>-200.04063783224038</v>
      </c>
      <c r="O360" s="7">
        <f>+SUM(Table1[[#This Row],[PRINCIPAL ]:[INTEREST ]])</f>
        <v>1275.5927096658481</v>
      </c>
      <c r="P360" s="7">
        <f>+Table1[[#This Row],[BEGINNING BALANCE ]]-Table1[[#This Row],[PRINCIPAL ]]-Table1[[#This Row],[EXTRA PAYMENT]]</f>
        <v>-63423.701837482207</v>
      </c>
      <c r="Q360" s="5">
        <f>+Table1[[#This Row],[PRINCIPAL ]]+Table1[[#This Row],[EXTRA PAYMENT]]+Q359</f>
        <v>313423.70183748216</v>
      </c>
      <c r="R360" s="7">
        <f>+Table1[[#This Row],[INTEREST ]]+R359</f>
        <v>141962.89551322543</v>
      </c>
    </row>
    <row r="361" spans="1:18" x14ac:dyDescent="0.25">
      <c r="A361">
        <f>+A360+1</f>
        <v>358</v>
      </c>
      <c r="B361" s="1">
        <f t="shared" si="42"/>
        <v>51502</v>
      </c>
      <c r="C361" s="6">
        <f t="shared" si="43"/>
        <v>3504.1230142827958</v>
      </c>
      <c r="D361" s="7">
        <f>PPMT(Inputs!$B$4/12,A361,Inputs!$B$5*12,-'Amortization Table'!$C$4)</f>
        <v>1164.2773124322268</v>
      </c>
      <c r="E361" s="7">
        <f>IPMT(Inputs!$B$4/12,'Amortization Table'!A361,Inputs!$B$5*12,-'Amortization Table'!$C$4)</f>
        <v>11.3153972336214</v>
      </c>
      <c r="F361" s="7">
        <f t="shared" si="38"/>
        <v>1175.5927096658481</v>
      </c>
      <c r="G361" s="6">
        <f t="shared" si="39"/>
        <v>2339.8457018505687</v>
      </c>
      <c r="H361" s="5">
        <f>+H360+Table1[[#This Row],[PRINCIPAL]]</f>
        <v>247660.15429814934</v>
      </c>
      <c r="I361" s="7">
        <f>Table1[[#This Row],[INTEREST]]+I360</f>
        <v>173202.03576222429</v>
      </c>
      <c r="J361" s="11"/>
      <c r="K361" s="7">
        <f t="shared" si="40"/>
        <v>-63423.701837482207</v>
      </c>
      <c r="L361" s="7">
        <f>+References!$B$1-Table1[[#This Row],[INTEREST ]]</f>
        <v>1380.3984135160511</v>
      </c>
      <c r="M361" s="5">
        <f>+Inputs!$B$11</f>
        <v>100</v>
      </c>
      <c r="N361" s="7">
        <f>+Table1[[#This Row],[BEGINNING BALANCE ]]*Inputs!$B$4/12</f>
        <v>-204.80570385020295</v>
      </c>
      <c r="O361" s="7">
        <f>+SUM(Table1[[#This Row],[PRINCIPAL ]:[INTEREST ]])</f>
        <v>1275.5927096658481</v>
      </c>
      <c r="P361" s="7">
        <f>+Table1[[#This Row],[BEGINNING BALANCE ]]-Table1[[#This Row],[PRINCIPAL ]]-Table1[[#This Row],[EXTRA PAYMENT]]</f>
        <v>-64904.100250998257</v>
      </c>
      <c r="Q361" s="5">
        <f>+Table1[[#This Row],[PRINCIPAL ]]+Table1[[#This Row],[EXTRA PAYMENT]]+Q360</f>
        <v>314904.10025099822</v>
      </c>
      <c r="R361" s="7">
        <f>+Table1[[#This Row],[INTEREST ]]+R360</f>
        <v>141758.08980937523</v>
      </c>
    </row>
    <row r="362" spans="1:18" x14ac:dyDescent="0.25">
      <c r="A362">
        <f t="shared" ref="A362:A363" si="44">+A361+1</f>
        <v>359</v>
      </c>
      <c r="B362" s="1">
        <f t="shared" si="42"/>
        <v>51533</v>
      </c>
      <c r="C362" s="6">
        <f t="shared" si="43"/>
        <v>2339.8457018505687</v>
      </c>
      <c r="D362" s="7">
        <f>PPMT(Inputs!$B$4/12,A362,Inputs!$B$5*12,-'Amortization Table'!$C$4)</f>
        <v>1168.0369579202893</v>
      </c>
      <c r="E362" s="7">
        <f>IPMT(Inputs!$B$4/12,'Amortization Table'!A362,Inputs!$B$5*12,-'Amortization Table'!$C$4)</f>
        <v>7.5557517455590002</v>
      </c>
      <c r="F362" s="7">
        <f t="shared" si="38"/>
        <v>1175.5927096658484</v>
      </c>
      <c r="G362" s="6">
        <f t="shared" si="39"/>
        <v>1171.8087439302794</v>
      </c>
      <c r="H362" s="5">
        <f>+H361+Table1[[#This Row],[PRINCIPAL]]</f>
        <v>248828.19125606964</v>
      </c>
      <c r="I362" s="7">
        <f>Table1[[#This Row],[INTEREST]]+I361</f>
        <v>173209.59151396985</v>
      </c>
      <c r="J362" s="11"/>
      <c r="K362" s="7">
        <f t="shared" si="40"/>
        <v>-64904.100250998257</v>
      </c>
      <c r="L362" s="7">
        <f>+References!$B$1-Table1[[#This Row],[INTEREST ]]</f>
        <v>1385.1788667263634</v>
      </c>
      <c r="M362" s="5">
        <f>+Inputs!$B$11</f>
        <v>100</v>
      </c>
      <c r="N362" s="7">
        <f>+Table1[[#This Row],[BEGINNING BALANCE ]]*Inputs!$B$4/12</f>
        <v>-209.58615706051521</v>
      </c>
      <c r="O362" s="7">
        <f>+SUM(Table1[[#This Row],[PRINCIPAL ]:[INTEREST ]])</f>
        <v>1275.5927096658481</v>
      </c>
      <c r="P362" s="7">
        <f>+Table1[[#This Row],[BEGINNING BALANCE ]]-Table1[[#This Row],[PRINCIPAL ]]-Table1[[#This Row],[EXTRA PAYMENT]]</f>
        <v>-66389.279117724625</v>
      </c>
      <c r="Q362" s="5">
        <f>+Table1[[#This Row],[PRINCIPAL ]]+Table1[[#This Row],[EXTRA PAYMENT]]+Q361</f>
        <v>316389.27911772457</v>
      </c>
      <c r="R362" s="7">
        <f>+Table1[[#This Row],[INTEREST ]]+R361</f>
        <v>141548.50365231471</v>
      </c>
    </row>
    <row r="363" spans="1:18" x14ac:dyDescent="0.25">
      <c r="A363">
        <f t="shared" si="44"/>
        <v>360</v>
      </c>
      <c r="B363" s="1">
        <f t="shared" si="42"/>
        <v>51561</v>
      </c>
      <c r="C363" s="6">
        <f t="shared" si="43"/>
        <v>1171.8087439302794</v>
      </c>
      <c r="D363" s="7">
        <f>PPMT(Inputs!$B$4/12,A363,Inputs!$B$5*12,-'Amortization Table'!$C$4)</f>
        <v>1171.8087439302401</v>
      </c>
      <c r="E363" s="7">
        <f>IPMT(Inputs!$B$4/12,'Amortization Table'!A363,Inputs!$B$5*12,-'Amortization Table'!$C$4)</f>
        <v>3.7839657356080663</v>
      </c>
      <c r="F363" s="7">
        <f t="shared" si="38"/>
        <v>1175.5927096658481</v>
      </c>
      <c r="G363" s="6">
        <f t="shared" si="39"/>
        <v>3.9335645851679146E-11</v>
      </c>
      <c r="H363" s="5">
        <f>+H362+Table1[[#This Row],[PRINCIPAL]]</f>
        <v>249999.99999999988</v>
      </c>
      <c r="I363" s="7">
        <f>Table1[[#This Row],[INTEREST]]+I362</f>
        <v>173213.37547970546</v>
      </c>
      <c r="J363" s="11"/>
      <c r="K363" s="7">
        <f t="shared" si="40"/>
        <v>-66389.279117724625</v>
      </c>
      <c r="L363" s="7">
        <f>+References!$B$1-Table1[[#This Row],[INTEREST ]]</f>
        <v>1389.9747568168339</v>
      </c>
      <c r="M363" s="5">
        <f>+Inputs!$B$11</f>
        <v>100</v>
      </c>
      <c r="N363" s="7">
        <f>+Table1[[#This Row],[BEGINNING BALANCE ]]*Inputs!$B$4/12</f>
        <v>-214.38204715098576</v>
      </c>
      <c r="O363" s="7">
        <f>+SUM(Table1[[#This Row],[PRINCIPAL ]:[INTEREST ]])</f>
        <v>1275.5927096658481</v>
      </c>
      <c r="P363" s="7">
        <f>+Table1[[#This Row],[BEGINNING BALANCE ]]-Table1[[#This Row],[PRINCIPAL ]]-Table1[[#This Row],[EXTRA PAYMENT]]</f>
        <v>-67879.253874541464</v>
      </c>
      <c r="Q363" s="5">
        <f>+Table1[[#This Row],[PRINCIPAL ]]+Table1[[#This Row],[EXTRA PAYMENT]]+Q362</f>
        <v>317879.25387454138</v>
      </c>
      <c r="R363" s="7">
        <f>+Table1[[#This Row],[INTEREST ]]+R362</f>
        <v>141334.12160516373</v>
      </c>
    </row>
  </sheetData>
  <sheetProtection algorithmName="SHA-512" hashValue="oMz2yz5WSLiaVgtYdKtMVb+qzu1FJkQYT+VLiDyrCzC4ZTdo9B7ungBix/4AkHwuGeP1e2SLCGQ3mfc0J90u8g==" saltValue="I7K7RtF058EGNW0AjD1jUQ==" spinCount="100000" sheet="1" objects="1" scenarios="1" formatRows="0"/>
  <mergeCells count="2">
    <mergeCell ref="A2:I2"/>
    <mergeCell ref="J2:R2"/>
  </mergeCells>
  <pageMargins left="0.7" right="0.7" top="0.75" bottom="0.75" header="0.3" footer="0.3"/>
  <pageSetup scale="35" fitToHeight="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0F5AF3-AEDC-491C-8877-5373234ABF17}">
  <sheetPr codeName="Sheet5"/>
  <dimension ref="A1:C31"/>
  <sheetViews>
    <sheetView workbookViewId="0">
      <selection activeCell="C15" sqref="C15"/>
    </sheetView>
  </sheetViews>
  <sheetFormatPr defaultColWidth="8.85546875" defaultRowHeight="15" x14ac:dyDescent="0.25"/>
  <cols>
    <col min="1" max="1" width="43.140625" bestFit="1" customWidth="1"/>
    <col min="2" max="2" width="18.85546875" bestFit="1" customWidth="1"/>
    <col min="3" max="3" width="19.85546875" bestFit="1" customWidth="1"/>
  </cols>
  <sheetData>
    <row r="1" spans="1:3" x14ac:dyDescent="0.25">
      <c r="A1" t="s">
        <v>53</v>
      </c>
      <c r="B1" s="15">
        <f>+Dashboard!L10</f>
        <v>1175.5927096658481</v>
      </c>
    </row>
    <row r="2" spans="1:3" x14ac:dyDescent="0.25">
      <c r="A2" t="s">
        <v>34</v>
      </c>
      <c r="B2" s="16">
        <f>DATEDIF(Inputs!B6,Inputs!B10,"M")+1</f>
        <v>130</v>
      </c>
    </row>
    <row r="3" spans="1:3" x14ac:dyDescent="0.25">
      <c r="A3" t="s">
        <v>42</v>
      </c>
      <c r="B3" s="16">
        <f>+B4-B2</f>
        <v>230</v>
      </c>
    </row>
    <row r="4" spans="1:3" x14ac:dyDescent="0.25">
      <c r="A4" t="s">
        <v>41</v>
      </c>
      <c r="B4" s="9">
        <f>+Inputs!B5*12</f>
        <v>360</v>
      </c>
    </row>
    <row r="5" spans="1:3" x14ac:dyDescent="0.25">
      <c r="A5" t="s">
        <v>35</v>
      </c>
      <c r="B5" s="1">
        <f>+Inputs!B10</f>
        <v>44562</v>
      </c>
    </row>
    <row r="6" spans="1:3" x14ac:dyDescent="0.25">
      <c r="A6" t="s">
        <v>36</v>
      </c>
      <c r="B6" s="5">
        <f>+VLOOKUP(B2,'Amortization Table'!A:I,8,FALSE)</f>
        <v>59378.57457093268</v>
      </c>
    </row>
    <row r="7" spans="1:3" x14ac:dyDescent="0.25">
      <c r="A7" t="s">
        <v>39</v>
      </c>
      <c r="B7" s="5">
        <f>+VLOOKUP(B2,'Amortization Table'!A:I,9,FALSE)</f>
        <v>93448.477685627513</v>
      </c>
    </row>
    <row r="8" spans="1:3" ht="15.75" thickBot="1" x14ac:dyDescent="0.3">
      <c r="A8" t="s">
        <v>37</v>
      </c>
      <c r="B8" s="5">
        <f>+VLOOKUP(B2,'Amortization Table'!A:I,7,FALSE)</f>
        <v>190621.4254290672</v>
      </c>
    </row>
    <row r="9" spans="1:3" ht="15.75" thickBot="1" x14ac:dyDescent="0.3">
      <c r="A9" t="s">
        <v>38</v>
      </c>
      <c r="B9" s="21">
        <f>+B6/B8</f>
        <v>0.31150000288413671</v>
      </c>
      <c r="C9" s="20">
        <f>+B9</f>
        <v>0.31150000288413671</v>
      </c>
    </row>
    <row r="10" spans="1:3" x14ac:dyDescent="0.25">
      <c r="A10" t="s">
        <v>63</v>
      </c>
      <c r="B10" s="10">
        <f>1-B9</f>
        <v>0.68849999711586329</v>
      </c>
    </row>
    <row r="11" spans="1:3" x14ac:dyDescent="0.25">
      <c r="A11" t="s">
        <v>58</v>
      </c>
      <c r="B11" s="17">
        <f>+VLOOKUP(B4,'Amortization Table'!A:I,9,FALSE)</f>
        <v>173213.37547970546</v>
      </c>
    </row>
    <row r="12" spans="1:3" x14ac:dyDescent="0.25">
      <c r="A12" t="s">
        <v>55</v>
      </c>
      <c r="B12" s="17">
        <f>+VLOOKUP(B4,'Amortization Table'!A:I,8,FALSE)</f>
        <v>249999.99999999988</v>
      </c>
    </row>
    <row r="13" spans="1:3" x14ac:dyDescent="0.25">
      <c r="A13" t="s">
        <v>56</v>
      </c>
      <c r="B13" s="17">
        <f>+SUM(B11:B12)</f>
        <v>423213.37547970534</v>
      </c>
    </row>
    <row r="15" spans="1:3" x14ac:dyDescent="0.25">
      <c r="A15" s="4" t="s">
        <v>54</v>
      </c>
    </row>
    <row r="16" spans="1:3" x14ac:dyDescent="0.25">
      <c r="A16" t="s">
        <v>57</v>
      </c>
      <c r="B16">
        <f>+MATCH(0.01,'Amortization Table'!P4:P363,-1)+1</f>
        <v>311</v>
      </c>
    </row>
    <row r="17" spans="1:3" x14ac:dyDescent="0.25">
      <c r="A17" t="s">
        <v>58</v>
      </c>
      <c r="B17" s="17">
        <f>+VLOOKUP(B16,'Amortization Table'!A:R,18,FALSE)</f>
        <v>146473.05451142858</v>
      </c>
    </row>
    <row r="18" spans="1:3" x14ac:dyDescent="0.25">
      <c r="A18" t="s">
        <v>55</v>
      </c>
      <c r="B18" s="17">
        <f>+B12</f>
        <v>249999.99999999988</v>
      </c>
    </row>
    <row r="19" spans="1:3" x14ac:dyDescent="0.25">
      <c r="A19" t="s">
        <v>56</v>
      </c>
      <c r="B19" s="17">
        <f>+SUM(B17:B18)</f>
        <v>396473.05451142846</v>
      </c>
    </row>
    <row r="20" spans="1:3" x14ac:dyDescent="0.25">
      <c r="A20" t="s">
        <v>59</v>
      </c>
      <c r="B20" s="18">
        <f>+B11-B17</f>
        <v>26740.320968276879</v>
      </c>
    </row>
    <row r="21" spans="1:3" x14ac:dyDescent="0.25">
      <c r="A21" t="s">
        <v>61</v>
      </c>
      <c r="B21">
        <f>+B4-B16</f>
        <v>49</v>
      </c>
    </row>
    <row r="22" spans="1:3" x14ac:dyDescent="0.25">
      <c r="A22" t="s">
        <v>62</v>
      </c>
      <c r="B22" s="19">
        <f>+B21/12</f>
        <v>4.083333333333333</v>
      </c>
    </row>
    <row r="23" spans="1:3" x14ac:dyDescent="0.25">
      <c r="A23" t="s">
        <v>60</v>
      </c>
      <c r="B23" t="str">
        <f>INT(B22) &amp; " years &amp; " &amp; INT((B22-INT(B22))*12) &amp; " months"</f>
        <v>4 years &amp; 0 months</v>
      </c>
    </row>
    <row r="26" spans="1:3" x14ac:dyDescent="0.25">
      <c r="A26" t="s">
        <v>64</v>
      </c>
      <c r="B26" s="19">
        <v>0.9</v>
      </c>
    </row>
    <row r="29" spans="1:3" x14ac:dyDescent="0.25">
      <c r="B29" t="s">
        <v>65</v>
      </c>
      <c r="C29" t="str">
        <f>"Extra "&amp;DOLLAR(Inputs!B11,0)&amp;" Per Month"</f>
        <v>Extra $100 Per Month</v>
      </c>
    </row>
    <row r="30" spans="1:3" x14ac:dyDescent="0.25">
      <c r="A30" t="str">
        <f>+A17</f>
        <v>Total Interest Paid</v>
      </c>
      <c r="B30" s="18">
        <f>+B11</f>
        <v>173213.37547970546</v>
      </c>
      <c r="C30" s="18">
        <f>+B17</f>
        <v>146473.05451142858</v>
      </c>
    </row>
    <row r="31" spans="1:3" x14ac:dyDescent="0.25">
      <c r="A31" t="str">
        <f>+A18</f>
        <v>Total Principal Paid</v>
      </c>
      <c r="B31" s="18">
        <f>+B12</f>
        <v>249999.99999999988</v>
      </c>
      <c r="C31" s="18">
        <f>+B18</f>
        <v>249999.99999999988</v>
      </c>
    </row>
  </sheetData>
  <conditionalFormatting sqref="B9">
    <cfRule type="dataBar" priority="1">
      <dataBar showValue="0"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{DD61877F-27AF-4279-B554-9EC4C1520F2D}</x14:id>
        </ext>
      </extLst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D61877F-27AF-4279-B554-9EC4C1520F2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B9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3C10A74E47D764480043E3E4F1D7449" ma:contentTypeVersion="8" ma:contentTypeDescription="Create a new document." ma:contentTypeScope="" ma:versionID="3ad700b15870fd2989a34984b92599e2">
  <xsd:schema xmlns:xsd="http://www.w3.org/2001/XMLSchema" xmlns:xs="http://www.w3.org/2001/XMLSchema" xmlns:p="http://schemas.microsoft.com/office/2006/metadata/properties" xmlns:ns3="d2d5cf56-d43f-4073-bb86-cb152c4dd206" targetNamespace="http://schemas.microsoft.com/office/2006/metadata/properties" ma:root="true" ma:fieldsID="8a7e14add0cf8df0611b596bb31354f6" ns3:_="">
    <xsd:import namespace="d2d5cf56-d43f-4073-bb86-cb152c4dd206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2d5cf56-d43f-4073-bb86-cb152c4dd20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888ECCD7-7331-4E48-B46C-36B24B6AA4B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41634BF-BC00-4898-A1BB-74A9B48819A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2d5cf56-d43f-4073-bb86-cb152c4dd2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15F6BA3-66E1-4D81-95A4-52B0FC13EDBF}">
  <ds:schemaRefs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d2d5cf56-d43f-4073-bb86-cb152c4dd206"/>
    <ds:schemaRef ds:uri="http://purl.org/dc/elements/1.1/"/>
    <ds:schemaRef ds:uri="http://schemas.microsoft.com/office/2006/metadata/properties"/>
    <ds:schemaRef ds:uri="http://purl.org/dc/terms/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Instructions</vt:lpstr>
      <vt:lpstr>Inputs</vt:lpstr>
      <vt:lpstr>Dashboard</vt:lpstr>
      <vt:lpstr>Amortization Table</vt:lpstr>
      <vt:lpstr>Dashboard!Print_Area</vt:lpstr>
      <vt:lpstr>'Amortization Table'!Print_Titles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Briskey, Matthew</dc:creator>
  <cp:lastModifiedBy>Matt Briskey</cp:lastModifiedBy>
  <cp:lastPrinted>2020-07-17T15:05:36Z</cp:lastPrinted>
  <dcterms:created xsi:type="dcterms:W3CDTF">2020-07-13T19:42:32Z</dcterms:created>
  <dcterms:modified xsi:type="dcterms:W3CDTF">2022-01-23T17:06:13Z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  <property fmtid="{D5CDD505-2E9C-101B-9397-08002B2CF9AE}" pid="3" name="SV_HIDDEN_GRID_QUERY_LIST_4F35BF76-6C0D-4D9B-82B2-816C12CF3733">
    <vt:lpwstr>empty_477D106A-C0D6-4607-AEBD-E2C9D60EA279</vt:lpwstr>
  </property>
  <property fmtid="{D5CDD505-2E9C-101B-9397-08002B2CF9AE}" pid="4" name="ContentTypeId">
    <vt:lpwstr>0x01010063C10A74E47D764480043E3E4F1D7449</vt:lpwstr>
  </property>
</Properties>
</file>